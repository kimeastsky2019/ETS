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964FN\Downloads\"/>
    </mc:Choice>
  </mc:AlternateContent>
  <xr:revisionPtr revIDLastSave="0" documentId="13_ncr:1_{3055B7A5-FFED-46F7-81E0-71BCCD4EE90A}" xr6:coauthVersionLast="47" xr6:coauthVersionMax="47" xr10:uidLastSave="{00000000-0000-0000-0000-000000000000}"/>
  <bookViews>
    <workbookView xWindow="-28920" yWindow="-120" windowWidth="29040" windowHeight="15720" tabRatio="835" xr2:uid="{4891E842-78F2-4AA6-B6CF-2DA540C7B52F}"/>
  </bookViews>
  <sheets>
    <sheet name="표지" sheetId="44" r:id="rId1"/>
    <sheet name="제개정이력" sheetId="45" r:id="rId2"/>
    <sheet name="A. 품질목표,KPI" sheetId="26" r:id="rId3"/>
    <sheet name="(참조) KPI&amp;위험 매핑" sheetId="29" r:id="rId4"/>
    <sheet name="B. KPI별 운영목표 " sheetId="30" r:id="rId5"/>
    <sheet name="(참조) 지표설정 참조" sheetId="32" r:id="rId6"/>
    <sheet name="(챰조) AI안전성 위험 식별" sheetId="23" r:id="rId7"/>
    <sheet name="(참조) AI 안정성 위험" sheetId="24" r:id="rId8"/>
  </sheets>
  <definedNames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표지!$A$1:$O$18</definedName>
    <definedName name="q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문서명" localSheetId="1">#REF!</definedName>
    <definedName name="문서명">표지!$O$5</definedName>
    <definedName name="프로젝트명" localSheetId="1">#REF!</definedName>
    <definedName name="프로젝트명">표지!$O$4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4" l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Jong-Min La</author>
  </authors>
  <commentList>
    <comment ref="F5" authorId="0" shapeId="0" xr:uid="{5A472E75-34C4-40D8-9E21-666D0741B0A8}">
      <text>
        <r>
          <rPr>
            <b/>
            <sz val="9"/>
            <color indexed="81"/>
            <rFont val="Tahoma"/>
            <family val="2"/>
          </rPr>
          <t>Jong-Min La:</t>
        </r>
        <r>
          <rPr>
            <sz val="9"/>
            <color indexed="81"/>
            <rFont val="Tahoma"/>
            <family val="2"/>
          </rPr>
          <t xml:space="preserve">
(1/29) AI</t>
        </r>
        <r>
          <rPr>
            <sz val="9"/>
            <color indexed="81"/>
            <rFont val="돋움"/>
            <family val="3"/>
            <charset val="129"/>
          </rPr>
          <t>전문업체에서작성중</t>
        </r>
      </text>
    </comment>
  </commentList>
</comments>
</file>

<file path=xl/sharedStrings.xml><?xml version="1.0" encoding="utf-8"?>
<sst xmlns="http://schemas.openxmlformats.org/spreadsheetml/2006/main" count="1242" uniqueCount="843">
  <si>
    <t>모델 훈련에 사용되는 데이터가 실제 상황이나 사실을 정확하게 반영하지 못하거나 동일한 항목이 일관되지 않게 기록되어서 발생하는 위험</t>
  </si>
  <si>
    <t>모델의 성능을 평가할 적절한 성능지표가 없거나 부적절한 지표가 선택되어 성능관리가 어려워질 위험</t>
  </si>
  <si>
    <t>모델이 개발된 상당 시간이 경과함에 따라 당초에 학습했던 데이터 환경과 예측하는 데이터의 분포 변화에 따라 예측 성능 저하가 발생하는 위험</t>
  </si>
  <si>
    <t>AI 서비스가 운영되면서 필요 이상으로 사용자 데이터를 수집하거나 감시하여 프라이버시를 침해할 위험</t>
  </si>
  <si>
    <t>대분류 (Level 1)</t>
  </si>
  <si>
    <t>중분류 (Level 2)</t>
  </si>
  <si>
    <t>소분류 (Level 3)</t>
    <phoneticPr fontId="1" type="noConversion"/>
  </si>
  <si>
    <t>정의</t>
    <phoneticPr fontId="1" type="noConversion"/>
  </si>
  <si>
    <t>韓 과학기술정보통신부_신뢰할 수 있는 인공지능 개발 안내서, 韓 과학기술정보통신부_인공지능 학습용 데이터 품질 관리 가이드라인 및 구축 안내서 v3.0</t>
    <phoneticPr fontId="1" type="noConversion"/>
  </si>
  <si>
    <t>美 NIST AI RMF 1.0 (2023.1) </t>
  </si>
  <si>
    <t>韓 국가기술표준원_인공지능의 신뢰성 개요</t>
    <phoneticPr fontId="1" type="noConversion"/>
  </si>
  <si>
    <t>韓 국가정보원 생성형 AI 보안 가이드라인 (2023.6) </t>
  </si>
  <si>
    <t>韓 국가정보원 생성형 AI 보안 가이드라인 (2023.6) </t>
    <phoneticPr fontId="1" type="noConversion"/>
  </si>
  <si>
    <t>SPRi 이슈리포트 IS-183 (2024.11) </t>
  </si>
  <si>
    <t>韓 정부 보도자료_AI 기반 신용평가 모형 및 금융 분야 AI</t>
    <phoneticPr fontId="1" type="noConversion"/>
  </si>
  <si>
    <t>韓 금융보안원 AI 보안 가이드라인 (2023.4) </t>
  </si>
  <si>
    <t>韓 국가기술표준원_인공지능 윤리에 대한 이해관계자 공동 영향 요소 및 유스케이스 수집 템플릿, 韓 국가기술표준원_인공지능의 신뢰성 개요</t>
    <phoneticPr fontId="1" type="noConversion"/>
  </si>
  <si>
    <t>SPRi 이슈리포트 IS-183 (2024.11) </t>
    <phoneticPr fontId="1" type="noConversion"/>
  </si>
  <si>
    <t>데이터 정확성 부족</t>
  </si>
  <si>
    <t>데이터 불충분성</t>
  </si>
  <si>
    <t>데이터 편향성</t>
  </si>
  <si>
    <t>민감 정보 추출/재식별</t>
  </si>
  <si>
    <t>개인 식별 정보(PII) 노출</t>
  </si>
  <si>
    <t>부정확한 정보 출력 (환각)</t>
  </si>
  <si>
    <t>의사결정 기능 오작동</t>
  </si>
  <si>
    <t>모델 붕괴 (Model Collapse)</t>
  </si>
  <si>
    <t>모델 외부위탁 위험</t>
  </si>
  <si>
    <t>모델 드리프트 위험</t>
  </si>
  <si>
    <t>적대적 공격 취약성 (Evasion Attack)</t>
  </si>
  <si>
    <t>무단 모델 추출 (Model Extraction)</t>
  </si>
  <si>
    <t>모델 인버전 공격 (Model Inversion Attack)</t>
  </si>
  <si>
    <t>사이버 범죄 지원</t>
  </si>
  <si>
    <t>AI 개발</t>
  </si>
  <si>
    <t>AI 서비스기획</t>
  </si>
  <si>
    <t>생성형 AI가 실제 사람인 것처럼 가짜 신원을 생성하여 개인 사생활 침해 및 사기 피해를 유발할 위험</t>
    <phoneticPr fontId="1" type="noConversion"/>
  </si>
  <si>
    <t>품질 목표</t>
  </si>
  <si>
    <t>Task Success Rate</t>
  </si>
  <si>
    <t>업무 시나리오 기준 정상 완료 비율</t>
  </si>
  <si>
    <t>Action Success Rate (Agent)</t>
  </si>
  <si>
    <t>Tool Selection Accuracy (Agent)</t>
  </si>
  <si>
    <t>WER (STT)</t>
  </si>
  <si>
    <t>음성 인식 오류율</t>
  </si>
  <si>
    <t>Retrieval Hit@K (RAG)</t>
  </si>
  <si>
    <t>KPI</t>
  </si>
  <si>
    <t>응답이 근거 기반인지의 비율</t>
  </si>
  <si>
    <t>근거 내용과 응답 의미 일치성</t>
  </si>
  <si>
    <t>응답 내 출처 포함 비율</t>
  </si>
  <si>
    <t>Policy-aware Action Rate (Agent)</t>
  </si>
  <si>
    <t>근거·정책 인지 Action 비율</t>
  </si>
  <si>
    <t>Source Citation Rate</t>
  </si>
  <si>
    <t>시스템·모델 오류 발생률</t>
  </si>
  <si>
    <t>입력/출력 분포 변화</t>
  </si>
  <si>
    <t>Context Drift Rate (MCP)</t>
  </si>
  <si>
    <t>Context 구조·내용 변화율</t>
  </si>
  <si>
    <t>변경 후 롤백 비율</t>
  </si>
  <si>
    <t>서비스 가용성</t>
  </si>
  <si>
    <t>Availability (Uptime)</t>
  </si>
  <si>
    <t>평균 응답 지연</t>
  </si>
  <si>
    <t>상위 지연 시간</t>
  </si>
  <si>
    <t>Timeout Rate</t>
  </si>
  <si>
    <t>타임아웃 발생률</t>
  </si>
  <si>
    <t>Throughput (TPS)</t>
  </si>
  <si>
    <t>초당 처리량</t>
  </si>
  <si>
    <t>Token / Turn</t>
  </si>
  <si>
    <t>턴당 토큰 사용량</t>
  </si>
  <si>
    <t>예산 대비 편차</t>
  </si>
  <si>
    <t>사람 개입 비율</t>
  </si>
  <si>
    <t>API Calls / Session</t>
  </si>
  <si>
    <t>Human Override Rate</t>
  </si>
  <si>
    <t>Policy Violation Rate</t>
  </si>
  <si>
    <t>정책 위반 응답/행동</t>
  </si>
  <si>
    <t>Jailbreak Success Rate</t>
  </si>
  <si>
    <t>공격 성공률</t>
  </si>
  <si>
    <t>개인정보/중요정보 노출</t>
  </si>
  <si>
    <t>Security Incident Count</t>
  </si>
  <si>
    <t>보안 사고 건수</t>
  </si>
  <si>
    <t>Invalid Action Rate (Agent)</t>
  </si>
  <si>
    <t>허용되지 않은 Action</t>
  </si>
  <si>
    <t>Sensitive Data Exposure Count</t>
  </si>
  <si>
    <t>0건</t>
  </si>
  <si>
    <t>KPI 설명</t>
  </si>
  <si>
    <t>상위 K개 검색 결과 내 정답 포함 비율</t>
  </si>
  <si>
    <t>생성된 SQL의 정상 실행 비율</t>
  </si>
  <si>
    <t>Agent가 수행한 Action의 정상 완료 비율</t>
  </si>
  <si>
    <t>Agent의 도구 선택 정확도</t>
  </si>
  <si>
    <t>세션당 API 호출</t>
  </si>
  <si>
    <t>≥95%</t>
  </si>
  <si>
    <t>90~95%</t>
  </si>
  <si>
    <t>&lt;90%</t>
  </si>
  <si>
    <t>≥97%</t>
  </si>
  <si>
    <t>94~97%</t>
  </si>
  <si>
    <t>&lt;94%</t>
  </si>
  <si>
    <t>≥98%</t>
  </si>
  <si>
    <t>95~98%</t>
  </si>
  <si>
    <t>&lt;95%</t>
  </si>
  <si>
    <t>≤10%</t>
  </si>
  <si>
    <t>10~15%</t>
  </si>
  <si>
    <t>&gt;15%</t>
  </si>
  <si>
    <t>≥90%</t>
  </si>
  <si>
    <t>85~90%</t>
  </si>
  <si>
    <t>&lt;85%</t>
  </si>
  <si>
    <t>≥99%</t>
  </si>
  <si>
    <t>97~99%</t>
  </si>
  <si>
    <t>&lt;97%</t>
  </si>
  <si>
    <t>≥0.90</t>
  </si>
  <si>
    <t>0.85~0.90</t>
  </si>
  <si>
    <t>&lt;0.85</t>
  </si>
  <si>
    <t>≥4.0/5</t>
  </si>
  <si>
    <t>3.5~4.0</t>
  </si>
  <si>
    <t>&lt;3.5</t>
  </si>
  <si>
    <t>≤1%</t>
  </si>
  <si>
    <t>1~3%</t>
  </si>
  <si>
    <t>&gt;3%</t>
  </si>
  <si>
    <t>≤5%</t>
  </si>
  <si>
    <t>5~10%</t>
  </si>
  <si>
    <t>&gt;10%</t>
  </si>
  <si>
    <t>≥99.9%</t>
  </si>
  <si>
    <t>99.0~99.9%</t>
  </si>
  <si>
    <t>&lt;99.0%</t>
  </si>
  <si>
    <t>≤1.5s</t>
  </si>
  <si>
    <t>1.5~2.5s</t>
  </si>
  <si>
    <t>&gt;2.5s</t>
  </si>
  <si>
    <t>≤3.0s</t>
  </si>
  <si>
    <t>3.0~5.0s</t>
  </si>
  <si>
    <t>&gt;5.0s</t>
  </si>
  <si>
    <t>≤0.5%</t>
  </si>
  <si>
    <t>0.5~1.0%</t>
  </si>
  <si>
    <t>&gt;1.0%</t>
  </si>
  <si>
    <t>±10%</t>
  </si>
  <si>
    <t>±10~20%</t>
  </si>
  <si>
    <t>1건</t>
  </si>
  <si>
    <t>≥2건</t>
  </si>
  <si>
    <t>탐지</t>
  </si>
  <si>
    <t>성공</t>
  </si>
  <si>
    <t>보안</t>
  </si>
  <si>
    <t>≤0.1%</t>
  </si>
  <si>
    <t>0.1~0.5%</t>
  </si>
  <si>
    <t>&gt;0.5%</t>
  </si>
  <si>
    <t>L1 위험 대분류</t>
  </si>
  <si>
    <t>L2 위험 분류</t>
  </si>
  <si>
    <t>안정성 위험 명칭</t>
  </si>
  <si>
    <t>위험 정의</t>
  </si>
  <si>
    <t>증권회사 특화 발생 시나리오 / 사례</t>
  </si>
  <si>
    <t>주요 업무 영역</t>
  </si>
  <si>
    <t>주요 영향 영역</t>
  </si>
  <si>
    <t>위험 발생 원인(Trigger)</t>
  </si>
  <si>
    <t>관련 법·가이드·프레임워크(S#)</t>
    <phoneticPr fontId="1" type="noConversion"/>
  </si>
  <si>
    <t>비고</t>
  </si>
  <si>
    <t>Malicious use</t>
  </si>
  <si>
    <t>Harm through fake content</t>
  </si>
  <si>
    <t>R-01</t>
  </si>
  <si>
    <t>임원 음성 딥페이크 송금 사기</t>
  </si>
  <si>
    <t>합성 음성으로 임원을 사칭하여 금융 거래를 유도</t>
  </si>
  <si>
    <t>CFO 음성 사칭 “긴급 송금” 지시 후 실행</t>
  </si>
  <si>
    <t>결제, 운영, 보안</t>
  </si>
  <si>
    <t>재무손실, 평판</t>
  </si>
  <si>
    <t>콜백·이중승인 절차 미흡</t>
  </si>
  <si>
    <t>고위험 거래 2인 승인, 콜백 인증, 음성 단독 승인 금지, 권한 분리</t>
  </si>
  <si>
    <t>이상거래 탐지(FDS), 사고 즉시 계좌 동결 및 보고</t>
  </si>
  <si>
    <t>HITL 필수</t>
  </si>
  <si>
    <t>S1,S3,S9,S11</t>
  </si>
  <si>
    <t>R-02</t>
  </si>
  <si>
    <t>가짜 리서치 리포트 유포</t>
  </si>
  <si>
    <t>공식 리포트 형식을 위조해 투자 판단을 왜곡</t>
  </si>
  <si>
    <t>허위 목표가 리포트로 주가 급등락</t>
  </si>
  <si>
    <t>리서치, 준법, 시장감시</t>
  </si>
  <si>
    <t>시장질서, 고객피해</t>
  </si>
  <si>
    <t>문서 진위 검증 부재</t>
  </si>
  <si>
    <t>리포트 전자서명, 공식 배포 채널 고정, 준법 사전 승인</t>
  </si>
  <si>
    <t>유사도·위변조 탐지, 정정 공지 및 삭제 요청</t>
  </si>
  <si>
    <t>S1,S3,S12</t>
  </si>
  <si>
    <t>R-03</t>
  </si>
  <si>
    <t>상담 녹취 합성에 따른 불완전판매 분쟁</t>
  </si>
  <si>
    <t>합성된 녹취가 실제 발언으로 오인</t>
  </si>
  <si>
    <t>PB 상담 녹취 합성으로 “원금보장” 주장</t>
  </si>
  <si>
    <t>WM, 고객센터, 준법</t>
  </si>
  <si>
    <t>법적 분쟁, 평판</t>
  </si>
  <si>
    <t>녹취 무결성 관리 부재</t>
  </si>
  <si>
    <t>녹취 원본 무결성(해시), 접근 통제, 상담 스크립트 관리</t>
  </si>
  <si>
    <t>민원 키워드 탐지, 녹취 검증 및 분쟁 대응</t>
  </si>
  <si>
    <t>S1,S3,S11</t>
  </si>
  <si>
    <t>Manipulation of public opinion</t>
  </si>
  <si>
    <t>R-04</t>
  </si>
  <si>
    <t>AI 루머 확산에 따른 시세 교란</t>
  </si>
  <si>
    <t>AI가 허위 정보를 대량 생성·확산</t>
  </si>
  <si>
    <t>SNS·커뮤니티에 M&amp;A 루머 자동 게시</t>
  </si>
  <si>
    <t>시장감시, 브로커리지</t>
  </si>
  <si>
    <t>시장질서 훼손</t>
  </si>
  <si>
    <t>콘텐츠 자동화</t>
  </si>
  <si>
    <t>SNS 모니터링, AI 자동 배포 금지, 고위험 종목 추가 심사</t>
  </si>
  <si>
    <t>이상거래 연계 분석, 정정 공지</t>
  </si>
  <si>
    <t>R-05</t>
  </si>
  <si>
    <t>AI 분석 권위 포장에 의한 투자자 기만</t>
  </si>
  <si>
    <t>“AI 분석”이라는 표현으로 허위 정보 신뢰도 증폭</t>
  </si>
  <si>
    <t>“AI가 보장” 문구로 특정 상품 유도</t>
  </si>
  <si>
    <t>마케팅, WM, 준법</t>
  </si>
  <si>
    <t>고객피해, 평판</t>
  </si>
  <si>
    <t>표현 통제 미흡</t>
  </si>
  <si>
    <t>수익보장 표현 금지, 정보제공/권유 명확 구분</t>
  </si>
  <si>
    <t>금칙어 탐지, 민원 모니터링</t>
  </si>
  <si>
    <t>S1,S3</t>
  </si>
  <si>
    <t>Cyber offence</t>
  </si>
  <si>
    <t>R-06</t>
  </si>
  <si>
    <t>프롬프트 인젝션으로 내부 정보 유출</t>
  </si>
  <si>
    <t>악성 입력으로 정책 우회·기밀 노출</t>
  </si>
  <si>
    <t>RAG 챗봇에서 미공개 딜 정보 노출</t>
  </si>
  <si>
    <t>IT, 보안, 리서치</t>
  </si>
  <si>
    <t>정보유출</t>
  </si>
  <si>
    <t>입력 검증 미흡</t>
  </si>
  <si>
    <t>프롬프트 분리, 정책 엔진, 민감정보 마스킹</t>
  </si>
  <si>
    <t>인젝션 패턴 탐지, 로그 감사</t>
  </si>
  <si>
    <t>S6,S7,S11</t>
  </si>
  <si>
    <t>R-07</t>
  </si>
  <si>
    <t>간접 프롬프트 인젝션(문서/웹)</t>
  </si>
  <si>
    <t>외부 문서에 숨은 지시로 모델 행동 오염</t>
  </si>
  <si>
    <t>웹 문서 요약 중 비밀 정보 전송 시도</t>
  </si>
  <si>
    <t>IT, 보안</t>
  </si>
  <si>
    <t>외부 콘텐츠 신뢰</t>
  </si>
  <si>
    <t>외부 콘텐츠 샌드박스, 툴 호출 전 승인</t>
  </si>
  <si>
    <t>비정상 툴 호출 탐지, 세션 차단</t>
  </si>
  <si>
    <t>R-08</t>
  </si>
  <si>
    <t>데이터 포이즈닝으로 편향 분석 생성</t>
  </si>
  <si>
    <t>지식베이스 오염으로 특정 종목 편향</t>
  </si>
  <si>
    <t>RAG 문서에 편향 자료 삽입</t>
  </si>
  <si>
    <t>리서치, WM</t>
  </si>
  <si>
    <t>고객피해, 시장왜곡</t>
  </si>
  <si>
    <t>데이터 검증 부재</t>
  </si>
  <si>
    <t>출처 검증, 변경 승인, 데이터 정제</t>
  </si>
  <si>
    <t>문서 변화 탐지, 오염 데이터 롤백</t>
  </si>
  <si>
    <t>HITL 권고</t>
  </si>
  <si>
    <t>S3,S4,S7</t>
  </si>
  <si>
    <t>R-09</t>
  </si>
  <si>
    <t>API 키 탈취로 무단 사용</t>
  </si>
  <si>
    <t>키 유출로 무단 호출·정보 접근</t>
  </si>
  <si>
    <t>외주 개발자 키 노출</t>
  </si>
  <si>
    <t>정보유출, 비용 증가</t>
  </si>
  <si>
    <t>비밀관리 미흡</t>
  </si>
  <si>
    <t>키 금고, 회전, 최소 권한</t>
  </si>
  <si>
    <t>API 사용량 모니터링, 즉시 폐기</t>
  </si>
  <si>
    <t>HITL 해당없음</t>
  </si>
  <si>
    <t>S6,S11</t>
  </si>
  <si>
    <t>Malfunctions</t>
  </si>
  <si>
    <t>Reliability issues</t>
  </si>
  <si>
    <t>R-10</t>
  </si>
  <si>
    <t>환각으로 허위 투자 정보 생성</t>
  </si>
  <si>
    <t>존재하지 않는 사실을 사실처럼 생성</t>
  </si>
  <si>
    <t>자사주 소각 허위 요약 제공</t>
  </si>
  <si>
    <t>출처 검증 미흡</t>
  </si>
  <si>
    <t>출처 기반 응답 강제, RAG 사용</t>
  </si>
  <si>
    <t>정합성 검증, 정정 공지</t>
  </si>
  <si>
    <t>S1,S3,S4</t>
  </si>
  <si>
    <t>R-11</t>
  </si>
  <si>
    <t>요약 오류로 핵심 리스크 누락</t>
  </si>
  <si>
    <t>요약 과정에서 중요 정보 탈락</t>
  </si>
  <si>
    <t>소송 리스크 누락 리포트 배포</t>
  </si>
  <si>
    <t>리서치, 준법</t>
  </si>
  <si>
    <t>법적 리스크</t>
  </si>
  <si>
    <t>요약 검증 부재</t>
  </si>
  <si>
    <t>중요 항목 체크리스트, 이중 검토</t>
  </si>
  <si>
    <t>누락 탐지, 정정 배포</t>
  </si>
  <si>
    <t>S1,S4</t>
  </si>
  <si>
    <t>R-12</t>
  </si>
  <si>
    <t>규정·약관 오답 제공</t>
  </si>
  <si>
    <t>규정 해석 오류로 잘못 안내</t>
  </si>
  <si>
    <t>신고 필요 거래를 “가능”으로 안내</t>
  </si>
  <si>
    <t>준법, 영업</t>
  </si>
  <si>
    <t>규제위반</t>
  </si>
  <si>
    <t>규정 최신성 미흡</t>
  </si>
  <si>
    <t>근거 조항 링크 의무, 최신 문서만 사용</t>
  </si>
  <si>
    <t>오답 신고 채널, 준법 검토</t>
  </si>
  <si>
    <t>S3,S4</t>
  </si>
  <si>
    <t>R-13</t>
  </si>
  <si>
    <t>코드 생성 오류로 리스크 산정 실패</t>
  </si>
  <si>
    <t>AI 생성 코드 오류로 계산 실패</t>
  </si>
  <si>
    <t>VaR 계산 오류로 한도 초과</t>
  </si>
  <si>
    <t>리스크관리, IT</t>
  </si>
  <si>
    <t>재무손실</t>
  </si>
  <si>
    <t>검증 없는 코드 반영</t>
  </si>
  <si>
    <t>코드 리뷰, 테스트, 샌드박스</t>
  </si>
  <si>
    <t>이상 수치 탐지, 롤백</t>
  </si>
  <si>
    <t>S3,S4,S9</t>
  </si>
  <si>
    <t>Bias</t>
  </si>
  <si>
    <t>R-14</t>
  </si>
  <si>
    <t>고객군 편향으로 적합성 훼손</t>
  </si>
  <si>
    <t>특정 고객군에 불리한 추천 반복</t>
  </si>
  <si>
    <t>고령층에 고위험 상품 추천</t>
  </si>
  <si>
    <t>WM, 준법</t>
  </si>
  <si>
    <t>학습데이터 편향</t>
  </si>
  <si>
    <t>그룹별 성능 평가, 금칙어 정책</t>
  </si>
  <si>
    <t>편향 지표 모니터링</t>
  </si>
  <si>
    <t>R-15</t>
  </si>
  <si>
    <t>시장감시 모델 편향</t>
  </si>
  <si>
    <t>특정 계정군 과탐/미탐</t>
  </si>
  <si>
    <t>특정 계좌 반복 오탐지</t>
  </si>
  <si>
    <t>시장감시, 준법</t>
  </si>
  <si>
    <t>운영 리스크</t>
  </si>
  <si>
    <t>라벨 편향</t>
  </si>
  <si>
    <t>임계치 튜닝, 성능 재평가</t>
  </si>
  <si>
    <t>오탐/미탐 KPI 관리</t>
  </si>
  <si>
    <t>Loss of control</t>
  </si>
  <si>
    <t>R-16</t>
  </si>
  <si>
    <t>Automation bias로 감독 상실</t>
  </si>
  <si>
    <t>사람이 AI 결과를 무비판 수용</t>
  </si>
  <si>
    <t>상담원이 AI 답변 그대로 전달</t>
  </si>
  <si>
    <t>전사</t>
  </si>
  <si>
    <t>과의존</t>
  </si>
  <si>
    <t>HITL 원칙 교육, 수정률 KPI</t>
  </si>
  <si>
    <t>오답 급증 시 세이프모드</t>
  </si>
  <si>
    <t>S1,S3,S8</t>
  </si>
  <si>
    <t>R-17</t>
  </si>
  <si>
    <t>자율 에이전트 연쇄 주문 실행</t>
  </si>
  <si>
    <t>에이전트가 반복 주문 수행</t>
  </si>
  <si>
    <t>손절 조건 오류로 과도 매매</t>
  </si>
  <si>
    <t>알고트레이딩, IT</t>
  </si>
  <si>
    <t>권한 과다</t>
  </si>
  <si>
    <t>권한 제한, 손실 한도, 킬스위치</t>
  </si>
  <si>
    <t>비정상 행동 탐지</t>
  </si>
  <si>
    <t>S1,S8,S9</t>
  </si>
  <si>
    <t>R-18</t>
  </si>
  <si>
    <t>툴 오용으로 계좌/주문 API 실행</t>
  </si>
  <si>
    <t>연결된 툴을 악용해 환경 변경</t>
  </si>
  <si>
    <t>챗봇이 주문 API 호출 시도</t>
  </si>
  <si>
    <t>IT, 보안, 브로커리지</t>
  </si>
  <si>
    <t>툴 권한 설계 오류</t>
  </si>
  <si>
    <t>툴 allowlist, 고위험 툴 승인</t>
  </si>
  <si>
    <t>툴 호출 감사 로그</t>
  </si>
  <si>
    <t>S6,S7,S8</t>
  </si>
  <si>
    <t>R-19</t>
  </si>
  <si>
    <t>프롬프트·로그 내 개인정보 유출</t>
  </si>
  <si>
    <t>입력/로그에 민감정보 저장</t>
  </si>
  <si>
    <t>상담 로그에 주민번호 포함</t>
  </si>
  <si>
    <t>고객센터, IT</t>
  </si>
  <si>
    <t>마스킹 미흡</t>
  </si>
  <si>
    <t>입력 DLP, 로그 최소화</t>
  </si>
  <si>
    <t>DLP 경보, 사고 대응</t>
  </si>
  <si>
    <t>S10,S11,S6</t>
  </si>
  <si>
    <t>R-20</t>
  </si>
  <si>
    <t>정보 최신성 미반영</t>
  </si>
  <si>
    <t>구버전 정보로 오답 제공</t>
  </si>
  <si>
    <t>수수료 변경 미반영 안내</t>
  </si>
  <si>
    <t>고객센터, WM</t>
  </si>
  <si>
    <t>고객불만</t>
  </si>
  <si>
    <t>갱신 실패</t>
  </si>
  <si>
    <t>콘텐츠 오너 지정, 갱신 SLA</t>
  </si>
  <si>
    <t>오래된 문서 탐지</t>
  </si>
  <si>
    <t>Systemic</t>
  </si>
  <si>
    <t>Labour market risks</t>
  </si>
  <si>
    <t>R-21</t>
  </si>
  <si>
    <t>검증 역량 약화</t>
  </si>
  <si>
    <t>AI 의존으로 인간 판단력 저하</t>
  </si>
  <si>
    <t>리서치 오류 장기 미탐지</t>
  </si>
  <si>
    <t>2인 검토, 교육</t>
  </si>
  <si>
    <t>정정률 모니터링</t>
  </si>
  <si>
    <t>Global AI R&amp;D divide</t>
  </si>
  <si>
    <t>R-22</t>
  </si>
  <si>
    <t>해외 AI 벤더 종속</t>
  </si>
  <si>
    <t>정책 변경 시 서비스 영향</t>
  </si>
  <si>
    <t>모델 업데이트로 응답 급변</t>
  </si>
  <si>
    <t>IT, 전사</t>
  </si>
  <si>
    <t>운영중단</t>
  </si>
  <si>
    <t>벤더 종속</t>
  </si>
  <si>
    <t>멀티벤더, 폴백 모델</t>
  </si>
  <si>
    <t>가용성 모니터링</t>
  </si>
  <si>
    <t>S1,S3,S9</t>
  </si>
  <si>
    <t>System concentration</t>
  </si>
  <si>
    <t>R-23</t>
  </si>
  <si>
    <t>단일 LLM 장애로 서비스 마비</t>
  </si>
  <si>
    <t>단일 실패지점으로 연쇄 장애</t>
  </si>
  <si>
    <t>상담·내부 업무 동시 중단</t>
  </si>
  <si>
    <t>IT, 고객센터</t>
  </si>
  <si>
    <t>아키텍처 단일화</t>
  </si>
  <si>
    <t>멀티리전, DR 구성</t>
  </si>
  <si>
    <t>장애 전환 훈련</t>
  </si>
  <si>
    <t>R-24</t>
  </si>
  <si>
    <t>합성 신분으로 비대면 인증 우회</t>
  </si>
  <si>
    <t>합성 얼굴/음성으로 본인확인 시도</t>
  </si>
  <si>
    <t>비대면 계좌 개설 악용</t>
  </si>
  <si>
    <t>비대면채널, 보안</t>
  </si>
  <si>
    <t>금융사고</t>
  </si>
  <si>
    <t>인증 취약</t>
  </si>
  <si>
    <t>다중 인증, 재검증 트리거</t>
  </si>
  <si>
    <t>이상 인증 탐지</t>
  </si>
  <si>
    <t>S1,S11,S9</t>
  </si>
  <si>
    <t>R-25</t>
  </si>
  <si>
    <t>시스템 프롬프트 노출</t>
  </si>
  <si>
    <t>내부 정책 노출로 공격 용이</t>
  </si>
  <si>
    <t>프롬프트 추출 후 가드레일 우회</t>
  </si>
  <si>
    <t>보안취약</t>
  </si>
  <si>
    <t>프롬프트 보호</t>
  </si>
  <si>
    <t>추출 시도 탐지</t>
  </si>
  <si>
    <t>S7,S6</t>
  </si>
  <si>
    <t>R-26</t>
  </si>
  <si>
    <t>모델 드리프트로 성능 저하</t>
  </si>
  <si>
    <t>시간 경과로 정확도 급락</t>
  </si>
  <si>
    <t>시장 변동성 확대 후 오답 증가</t>
  </si>
  <si>
    <t>고객피해</t>
  </si>
  <si>
    <t>드리프트 관리 부재</t>
  </si>
  <si>
    <t>정기 재평가, 골든셋 테스트</t>
  </si>
  <si>
    <t>성능 KPI 모니터링</t>
  </si>
  <si>
    <t>R-27</t>
  </si>
  <si>
    <t>출처 왜곡으로 잘못된 결론 제시</t>
  </si>
  <si>
    <t>근거와 다른 결론 생성</t>
  </si>
  <si>
    <t>공시 일부 인용 후 반대 결론</t>
  </si>
  <si>
    <t>리서치</t>
  </si>
  <si>
    <t>정합성 검증 부재</t>
  </si>
  <si>
    <t>근거-결론 검증</t>
  </si>
  <si>
    <t>샘플링 점검</t>
  </si>
  <si>
    <t>R-28</t>
  </si>
  <si>
    <t>차별적 표현 생성</t>
  </si>
  <si>
    <t>언어·문화 편향으로 부적절 표현</t>
  </si>
  <si>
    <t>특정 연령 비하 표현</t>
  </si>
  <si>
    <t>고객센터</t>
  </si>
  <si>
    <t>평판</t>
  </si>
  <si>
    <t>가드레일 부재</t>
  </si>
  <si>
    <t>금칙어 정책</t>
  </si>
  <si>
    <t>차별 표현 탐지</t>
  </si>
  <si>
    <t>R-29</t>
  </si>
  <si>
    <t>인덱스에 개인정보 과다 포함</t>
  </si>
  <si>
    <t>불필요한 개인정보 인덱싱</t>
  </si>
  <si>
    <t>RAG에 주민번호 포함 문서</t>
  </si>
  <si>
    <t>IT, 데이터</t>
  </si>
  <si>
    <t>최소수집 위반</t>
  </si>
  <si>
    <t>비식별화, 접근 통제</t>
  </si>
  <si>
    <t>PII 탐지 스캔</t>
  </si>
  <si>
    <t>S11,S6</t>
  </si>
  <si>
    <t>R-30</t>
  </si>
  <si>
    <t>자율 플래닝으로 규정 우회</t>
  </si>
  <si>
    <t>에이전트가 우회 경로 탐색</t>
  </si>
  <si>
    <t>거래 제한 회피 시도</t>
  </si>
  <si>
    <t>알고, 준법</t>
  </si>
  <si>
    <t>자율성 과다</t>
  </si>
  <si>
    <t>행동 경계, 승인 포인트</t>
  </si>
  <si>
    <t>플랜 감사 로그</t>
  </si>
  <si>
    <t>S8,S3</t>
  </si>
  <si>
    <t>R-31</t>
  </si>
  <si>
    <t>시장 코멘트가 투자권유로 오인</t>
  </si>
  <si>
    <t>정보 제공이 권유로 해석</t>
  </si>
  <si>
    <t>“지금 매수” 형태 응답</t>
  </si>
  <si>
    <t>WM, 고객센터</t>
  </si>
  <si>
    <t>분쟁</t>
  </si>
  <si>
    <t>권유 금지 룰, 상담 전환</t>
  </si>
  <si>
    <t>대화 로그 점검</t>
  </si>
  <si>
    <t>R-32</t>
  </si>
  <si>
    <t>GenAI 기반 피싱 고도화</t>
  </si>
  <si>
    <t>AI가 사회공학 공격을 강화</t>
  </si>
  <si>
    <t>맞춤형 피싱 메일 생성</t>
  </si>
  <si>
    <t>보안, 전사</t>
  </si>
  <si>
    <t>침해사고</t>
  </si>
  <si>
    <t>공격 비용 하락</t>
  </si>
  <si>
    <t>보안 교육, 이메일 보안</t>
  </si>
  <si>
    <t>피싱 탐지 훈련</t>
  </si>
  <si>
    <t>S7,S5</t>
  </si>
  <si>
    <t>R-33</t>
  </si>
  <si>
    <t>운영 인력 축소로 모니터링 공백</t>
  </si>
  <si>
    <t>감시 인력 부족으로 대응 지연</t>
  </si>
  <si>
    <t>야간 장애 장기화</t>
  </si>
  <si>
    <t>IT 운영</t>
  </si>
  <si>
    <t>인력·프로세스 부족</t>
  </si>
  <si>
    <t>온콜 체계, 자동 모니터링</t>
  </si>
  <si>
    <t>RCA 및 개선</t>
  </si>
  <si>
    <t>R-34</t>
  </si>
  <si>
    <t>국외 규제·접근 제한으로 API 차단</t>
  </si>
  <si>
    <t>해외 정책 변화로 호출 불가</t>
  </si>
  <si>
    <t>특정 리전 API 차단</t>
  </si>
  <si>
    <t>지역 의존</t>
  </si>
  <si>
    <t>대체 모델, 계약 조항</t>
  </si>
  <si>
    <t>장애 전환</t>
  </si>
  <si>
    <t>R-35</t>
  </si>
  <si>
    <t>검증 부족 상태로 운영 투입</t>
  </si>
  <si>
    <t>PoC 결과만으로 전사 배포</t>
  </si>
  <si>
    <t>검증 없이 서비스 확대</t>
  </si>
  <si>
    <t>전사, IT</t>
  </si>
  <si>
    <t>운영사고</t>
  </si>
  <si>
    <t>배포 게이트 부재</t>
  </si>
  <si>
    <t>단계별 승인, 검증 게이트</t>
  </si>
  <si>
    <t>롤백 기준 운영</t>
  </si>
  <si>
    <t>S4,S3</t>
  </si>
  <si>
    <t>R-36</t>
  </si>
  <si>
    <t>챗봇 입력으로 개인정보 처리 범위 초과</t>
  </si>
  <si>
    <t>불필요한 개인정보 입력·저장</t>
  </si>
  <si>
    <t>입력창에 주민번호 입력 유도</t>
  </si>
  <si>
    <t>입력 제한 미흡</t>
  </si>
  <si>
    <t>입력 필터, PII 자동 마스킹</t>
  </si>
  <si>
    <t>DLP 경보, 즉시 차단</t>
  </si>
  <si>
    <t>AI 세부 위험</t>
    <phoneticPr fontId="1" type="noConversion"/>
  </si>
  <si>
    <t>AI RMF 기반 세부 위험 정의</t>
    <phoneticPr fontId="1" type="noConversion"/>
  </si>
  <si>
    <t>평가 방안</t>
    <phoneticPr fontId="1" type="noConversion"/>
  </si>
  <si>
    <t>완화 방안</t>
    <phoneticPr fontId="1" type="noConversion"/>
  </si>
  <si>
    <t>배점</t>
    <phoneticPr fontId="1" type="noConversion"/>
  </si>
  <si>
    <t>ref</t>
    <phoneticPr fontId="1" type="noConversion"/>
  </si>
  <si>
    <t>담당</t>
    <phoneticPr fontId="1" type="noConversion"/>
  </si>
  <si>
    <t>합법성 원칙</t>
    <phoneticPr fontId="1" type="noConversion"/>
  </si>
  <si>
    <t>금융소비자보호법 위반 가능성</t>
    <phoneticPr fontId="1" type="noConversion"/>
  </si>
  <si>
    <t>고지 의무 위반</t>
  </si>
  <si>
    <t xml:space="preserve">대고객 AI 서비스 운영 시 고지의무 대상 서비스에 대해서는 적합한 내용으로 고지 절차를 수행해야 하나 하지 않아서 제재를 받게 될 위험 (AI RMF 기준: 적합성/적정성 원칙, 불공정 영업행위 금지 원칙/상품 광고 규제) </t>
    <phoneticPr fontId="1" type="noConversion"/>
  </si>
  <si>
    <t xml:space="preserve">§ sLLM 기반 문구 적정성 검사(Content Validity): 법령에서 요구하는 필수 핵심 내용이 고지 문구에 포함되었는지 검사
§ 자동화 로직:  sLLM를 활용하여 고지 문구 내에 [AI 활용, 결과 도출 근거, 이의제기 권리, 담당부서 연락처] 등의 필수 키워드가 포함되어 있는지 확인
하나라도 누락 시 '주의' 등급을 부여
§ 체크 리스트를 통한 사용자 판단
- 고지 절차 존재 및 고지 내용의 적정 여부 등 확인
</t>
    <phoneticPr fontId="1" type="noConversion"/>
  </si>
  <si>
    <t>§ 고지 절차 자동화 및 표준화: ITSM의 기획 단계에서 고지 의무 대상을 자동으로 식별하고, 표준화된 고지 템플릿을 서비스 설계에 반영하도록 강제화
§ 관리시스템: 서비스 기획 및 AI 서비스 개발계획 수립 시 고지 항목을 정의하고 서비스 승인 절차에서 이행 여부를 최종 확정
§ 평가시스템: 실제 운영 환경에서 고지 로그가 정상 적재되는지 모니터링하고, 검수+피드백 시스템을 통해 고지 문구의 개선 사항을 지속적으로 반영</t>
    <phoneticPr fontId="1" type="noConversion"/>
  </si>
  <si>
    <t>설명 의무/부당권유행위 위반</t>
  </si>
  <si>
    <t xml:space="preserve">대고객 AI 서비스 운영 시 설명 의무 대상 서비스에 대해서는 설명 절차 수행해야 하나, 사전에 인지하지 못하거나 잘못된 정보를 제공할 위험 (AI RMF 기준: 설명의무/부당권유행위 금지 원칙) </t>
    <phoneticPr fontId="1" type="noConversion"/>
  </si>
  <si>
    <t>§ 설명 정합성 지수 (EA-Score):
로직: AI가 제시한 설명(Explanation)이 실제 모델의 피처 기여도(Feature Importance)와 얼마나 일치하는지 측정
기준: 정합성 98% 이상 '우수', 90% 미만 ‘주의'.
§ XAI 신뢰도 검증 (XF-Score):
SHAP, LIME 등의 기술을 사용하여 모델의 판단 근거를 시각화하고, 이를 비즈니스 규칙과 대조하여 논리적 타당성을 검토
§ 부당권유 탐지 모니터링:
특정 상품의 추천 빈도가 통계적으로 비정상적으로 높거나, 수익성 위주의 편향이 발견되는지 집단 간 격차 지수(DI)를 변형하여 측정</t>
    <phoneticPr fontId="1" type="noConversion"/>
  </si>
  <si>
    <t>§ 관리시스템: AI 위험/영향 식별 단계에서 설명 의무 대상 여부를 판정하고, 위반 시 위험성 재평가 프로세스를 수행
§ 평가시스템: RAG 기반 데이터 Faithful 점수평가를 통해 생성된 설명이 실제 규정집이나 데이터에 기반하고 있는지 실시간 검증
§ 설명 가능한 AI(xAI) 워크플로우 의무화: 결정 결과와 함께 핵심 변수 3~5개를 소비자 화면에 자동으로 노출하는 기능을 설계 단계(ITSM)에서 필수화</t>
    <phoneticPr fontId="1" type="noConversion"/>
  </si>
  <si>
    <t>韓 국가기술표준원_인공지능 윤리에 대한 이해관계자 공동 영향 요소 및 유스케이스 수집 템플릿</t>
  </si>
  <si>
    <t>AI기본법 위반 가능성</t>
    <phoneticPr fontId="1" type="noConversion"/>
  </si>
  <si>
    <t>AI 기본법 위반</t>
  </si>
  <si>
    <t>AI 기본법의 주요 의무를 위반하거나 법령의 요구사항을 누락하여 서비스를 기획 및 운영할 위험</t>
    <phoneticPr fontId="1" type="noConversion"/>
  </si>
  <si>
    <t xml:space="preserve">§ 법규 준수 진단 (Compliance Score)
로직: AI 기본법의 요구사항 기반 체크리스트 (예: 투명성 확보 의무에 따른 고지 의무 등)를 시스템화하여 이행 여부를 점수화
지표: 100점 만점 기준 100점 필수 (법적 의무 사항은 예외 없이 준수해야 함)
§ AI 영향 평가 (AIA, AI Impact Assessment):
관리시스템 내 'AI 위험/영향/안전성 식별/평가' 단계를 통해 해당 서비스가 인권, 안전, 사회적 가치에 미치는 영향을 사전에 분석
§ 증적 완결성 검증:
법적 분쟁 시 제출할 수 있는 학습 데이터 출처, 알고리즘 설명서, 안전성 테스트 결과가 평가 이력 관리에 누락 없이 저장되어 있는지 자동 스캔
</t>
    <phoneticPr fontId="1" type="noConversion"/>
  </si>
  <si>
    <t>§ Legal-Tech 기반 가드레일: sLLM 기반 법령 스캐너를 활용하여 서비스 기획서 및 약관이 최신 AI 기본법 및 시행령에 부합하는지 실시간 검토
§ 단계별 게이트키핑 (Gate-keeping): ITSM 워크플로우 상에서 법무/컴플라이언스 부서의 승인 없이는 모델 배포(Deployment)가 불가능하도록 시스템 통제장치를 설정
§ 신뢰성 검인증 연계 : 제3자 인증 기관이나 국가 공인 신뢰성 검인증 지표를 평가시스템에 등록하고, 이를 통과한 모델만 운영할 수 있도록 관리
§ 책임 소재의 명확화: 관리시스템 내에 각 AI 서비스별 'AI 관리책임자'를 명시하고, 생애주기별 R&amp;R을 디지털 증적으로 남겨 책임성을 강화</t>
    <phoneticPr fontId="1" type="noConversion"/>
  </si>
  <si>
    <t>데이터 관련법 위반 가능성</t>
    <phoneticPr fontId="1" type="noConversion"/>
  </si>
  <si>
    <t>AI의 추론 능력을 악용하여 개인의 민감 정보(건강, 위치 등)를 추출, 재식별, 연결, 추론함으로써 프라이버시 침해가 심화되고 개인 데이터가 악용 및 노출될 위험</t>
  </si>
  <si>
    <t>§ 민감정보 생성 유발 레드티밍: 공격 프롬프트 생성을 자동화는 레드티밍 솔루션을 활용하여 민감정보 유출을 시도
- '공격 타입: &lt;민감정보 유출&gt; 설정 / 프롬프트: &lt;공격 시나리오&gt; 입력’으로 공격 시나리오 자동 생성
- 공격 성공 판단: 공격 시나리오 입/출력에 민감정보 포함 여부
- 위험 점수: (공격 성공 / 전체 공격 시도) X 100</t>
    <phoneticPr fontId="1" type="noConversion"/>
  </si>
  <si>
    <t>§ 일반화 및 대체: 민감 데이터를 일반화하고 범주화하여 식별력을 낮춤
§ 출력값 라운딩(Rounding) 및 제한: 모델 예측 확률을 정밀하게 주지 않고, 대략적인 범위로 제공</t>
    <phoneticPr fontId="1" type="noConversion"/>
  </si>
  <si>
    <t>개인정보법 제23조 등
위치정보법 제3장
美 대통령 행정명령 14110 (2023.10) </t>
    <phoneticPr fontId="1" type="noConversion"/>
  </si>
  <si>
    <t>개인정보의 부적절한 처리</t>
    <phoneticPr fontId="1" type="noConversion"/>
  </si>
  <si>
    <t>정보주체로부터 동의받지 않은 목적으로 모델 훈련에 사용 등 개인정보를 처리하거나 기타 데이터 사용, 이동, 판매에 관련한 법령을 위반할 위험 (개인정보보호법, 신용정보법, 위치정보법 등)</t>
    <phoneticPr fontId="1" type="noConversion"/>
  </si>
  <si>
    <t>§ 데이터 법령 준수 진단 (Compliance Score) 
- 로직: 개인정보법 및 신용정보법 상 요건 기반 체크리스트 (예: AI 학습 및 모델 개선 목적 개인정보 수집 이용 동의 징구 및 해당 데이터 한정 모델 학습 여부 등)를 시스템화하여 이행 여부를 점수화
- 지표: 100점 만점 기준 100점 필수 (법적 의무 사항은 예외 없이 준수해야 함)
§ 접근 로그 감사: 데이터 파이프라인 로그에 민감정보가 저장된 DB 테이블에 접근한 이력이 있는지 분석
- 공격 성공 판단: 데이터 파이프라인 로그에 민감정보에 접근한 이력이 있는 경우
- 위험 점수: 민감정보에 접근했는지 여부</t>
    <phoneticPr fontId="1" type="noConversion"/>
  </si>
  <si>
    <t>§ AI 학습용 데이터 구분 동의: 수집 시점에 AI 학습용 데이터는 명확히 구분하여 동의를 획득하도록 UI 설계
§ 민감정보 분리 보관: 민감정보는 물리적/논리적으로 완전히 분리된 별도 DB에 암호화하여 저장</t>
    <phoneticPr fontId="1" type="noConversion"/>
  </si>
  <si>
    <t>개인정보보호법 제15조, 제18조, 제20조 등
신용정보법 제15조 등
위치정보법 제3장</t>
    <phoneticPr fontId="1" type="noConversion"/>
  </si>
  <si>
    <t>개별 업권법 위반 가능성</t>
    <phoneticPr fontId="1" type="noConversion"/>
  </si>
  <si>
    <t>금융관련 법 위반</t>
  </si>
  <si>
    <t>AI 상품·서비스를 출시 및 운용하는 과정에서 자본시장법 등 개별 금융업권 법규를 위반할 수 있는 위험</t>
    <phoneticPr fontId="1" type="noConversion"/>
  </si>
  <si>
    <t xml:space="preserve">§ 이상금융거래 탐지 시스템(FDS) 연동: AI 이용 방식이 법규 위반 패턴과 유사한지 판단 가능
- 공격 성공 판단: AI 상품 및 서비스 관련 요청 결과가 FDS에서 이상거래로 탐지
- 위험 점수 = (탐지 성공 / 전체 상품 및 서비스 관련 요청) X 100 
§ 법규 준수 진단 (Compliance Score) 
- 로직: 금융투자 관련 법령 상 요건 기반 체크리스트 (예: 자본시장법 제99조(투자일임보고서의 교부) 요구사항 등)를 시스템화하여 이행 여부를 점수화
- 지표: 100점 만점 기준 100점 필수 (법적 의무 사항은 예외 없이 준수해야 함)
</t>
    <phoneticPr fontId="1" type="noConversion"/>
  </si>
  <si>
    <t>§ Human-In-the-Loop(HITL) 개념 적용: 
잘못된 판단으로 고객에게 큰 손해가 발생하거나 위법 가능성 높은 상품이나 서비스는 마지막 단계에서 해당 근거를 설명하고 인간이 판단할 수 있도록 하는 프로세스 적용
§ 진단 결과 발견 사항에 대한 개선 수행: 
체크리스트를 통한 점검 결과 사전 발견한 미흡 사항을 확인하고 각 사항에 따른 완화 방안을 수립 및 이행하여, 금융 관련 법령을 준수하여 AI 서비스 및 시스템을 개발 및 운영</t>
    <phoneticPr fontId="1" type="noConversion"/>
  </si>
  <si>
    <t>신뢰성 원칙</t>
    <phoneticPr fontId="1" type="noConversion"/>
  </si>
  <si>
    <t>품질</t>
    <phoneticPr fontId="1" type="noConversion"/>
  </si>
  <si>
    <t>데이터셋이 AI 시스템의 상황 또는 의도된 사용을 정확하게 대표하지 못하거나, 실제 상황을 반영하지 못하여 AI 시스템의 신뢰성에 영향을 미칠 수 있는 위험</t>
    <phoneticPr fontId="1" type="noConversion"/>
  </si>
  <si>
    <t>§ 평가 지표: 신뢰구간(Confidence Interval, CI).
§ 판단 기준: 신뢰구간(CI) &gt; 0.2인 경우, 예측 결과의 불확실성이 높은 것으로 간주하여 시스템 경고를 발생시키고 재학습 우선순위를 상향 조정</t>
    <phoneticPr fontId="1" type="noConversion"/>
  </si>
  <si>
    <t xml:space="preserve">§ 능동적 학습(Active Learning) 기반 보강: 모델이 불확실하다고 판단하는 영역(CI &gt; 0.2)의 데이터를 우선적으로 식별하여 집중적으로 수집하고 라벨링
§ 데이터 증강(Data Augmentation): 합성 데이터 생성이나 통계적 오버샘플링을 통해 데이터가 희소한 구간을 보강하여 모델의 노출 빈도를 높힘
§ 모델 기반 완화: 유사 도메인의 대규모 데이터를 활용한 전이 학습(Transfer Learning)을 적용하거나, 앙상블 기법을 통해 개별 모델의 불확실성을 상쇄
§ 추론 제어 및 가드레일: 불확실성이 높은 예측 결과에 대해서는 AI의 독자적인 결정을 제한하고, 전문가(Human-in-the-Loop)의 개입을 요청하거나 사용자에게 불확실성을 사전에 고지
</t>
    <phoneticPr fontId="1" type="noConversion"/>
  </si>
  <si>
    <t>§ 머신러닝 모델인 Isolation Forest를 학습시켜, "평균적인 데이터 분포에서 벗어난 정도"를 0~1 사이의 점수로 환산
§ 수치 가이드: 
-  0.0 ~ 0.5: 정상 데이터.
- 0.5 ~ 0.7: 단순 노이즈 가능성 (수정 권고).
- 0.7 이상: 심각한 기록 오류 또는 조작 데이터 (삭제 필수).</t>
    <phoneticPr fontId="1" type="noConversion"/>
  </si>
  <si>
    <t>§ 이상치 점수 기반 자동 필터링 및 정제 (Cleaning) :
평가 시스템에서 도출된 Isolation Forest 점수를 기반으로 즉각적인 조치를 수행
§ 데이터 입력 단계의 유효성 검증(Validation) 강화:
데이터가 시스템에 입력되는 시점에서 정확성을 확보하여 사후 정제 비용 축소
§ MLOps 기반의 지속적 모니터링 및 재평가:데이터의 정확성은 시간에 따라 변할 수 있으므로 지속적인 관리 체계를 구축
§ 거버넌스 및 전문 인력 검수 (Human-in-the-Loop):자동화된 시스템이 판별하기 어려운 맥락적 오류를 해결</t>
    <phoneticPr fontId="1" type="noConversion"/>
  </si>
  <si>
    <t>학습 데이터 오염/손실</t>
  </si>
  <si>
    <t>오염: 악의적인 목적으로 변조된 데이터(적대적 예제 또는 악의적인 노이즈)가 AI 모델 학습 시에 활용되어, AI 시스템의 성능 저하 및 오작동을 유발하는 공격
손실: 모델 훈련에 사용된 데이터가 절차 미흡이나 소홀, 기타 예상치 못한 사고로 인해 손실되어 모델을 재현할 수 없게 되는 위험</t>
    <phoneticPr fontId="1" type="noConversion"/>
  </si>
  <si>
    <t>§ 패킷 분석 툴(Fiddler 등) 이용: 패킷 분석 툴을 이용해서 특정 패킷의 이동을 멈춘 후 해당 패킷의 일부를 변조한 후, 전달하여 변조가 탐지되는지 확인
- 위험 점수: (변조 공격 성공 / 전체 변조 시도) X 100</t>
    <phoneticPr fontId="14" type="noConversion"/>
  </si>
  <si>
    <t xml:space="preserve">§ 데이터 검증: 원본 배포처가 제공한 해시값(SHA-256)과 전달 받은 데이터의 해시값의 일치 여부로 오염/손실 확인
§ 백업 저장소 잠금: 백업 저장소(Vault) 자체에 잠금을 걸어 공격자가 백업본을 삭제하지 못하도록 방어
</t>
    <phoneticPr fontId="14" type="noConversion"/>
  </si>
  <si>
    <t>韓 금융보안원 AI 보안 가이드라인 (2023.4) 
韓 과학기술정보통신부_인공지능 학습용 데이터 품질 관리 가이드라인 및 구축 안내서 v3.0</t>
    <phoneticPr fontId="1" type="noConversion"/>
  </si>
  <si>
    <t>편향성</t>
    <phoneticPr fontId="1" type="noConversion"/>
  </si>
  <si>
    <t>데이터셋 내의 직·간접적인 편향이 AI 시스템 결과에 영향을 미쳐 개인, 그룹 또는 사회에 불공정하거나 해로운 결과를 초래할 수 있는 위험 (인종·성별 등 인간 정체성 관련 편향 가능성 포함)</t>
    <phoneticPr fontId="1" type="noConversion"/>
  </si>
  <si>
    <t xml:space="preserve">§ 편향 프롬프트 생성 레드티밍: 공격 프롬프트 생성을 자동화는 레드티밍 솔루션을 활용하여 편향된 프롬프트 생성
- 생성된 공격 프롬프트를 이용하여 반복적인 프롬프트 편향 결과를 유도하고 현재 AI 시스템이 안전한지 확인 및 통계 도출 가능
</t>
    <phoneticPr fontId="1" type="noConversion"/>
  </si>
  <si>
    <t>§ 편향 탐지 차단: 데이터 요청 중 편향성을 판단하여 차단하고 모니터링 (증오 / 괴롭힘 / 성적 콘텐츠 / 범죄 / 아동 성착취 / 자살 및 자해 등)</t>
    <phoneticPr fontId="1" type="noConversion"/>
  </si>
  <si>
    <t>공정성</t>
    <phoneticPr fontId="1" type="noConversion"/>
  </si>
  <si>
    <t>공정성 위반</t>
  </si>
  <si>
    <t>모델을 훈련시키는데 사용되는 데이터가 전체 고객이나 상황을 대표하지 못하고 모델의 구조나 알고리즘의 특성에 따라 특정 데이터 또는 입력값에 대해 편향된 결과를 산출하는 위험</t>
    <phoneticPr fontId="1" type="noConversion"/>
  </si>
  <si>
    <t xml:space="preserve">§ 집단 간 격차 지수 : DI-Index (Disparate Impact)
- 산식: (소수/취약 집단의 승인율) / (다수 집단의 승인율)
- 0.8 ≤ DI ≤ 1.25: 우수.  범위 이탈 시: 주의
</t>
    <phoneticPr fontId="1" type="noConversion"/>
  </si>
  <si>
    <t xml:space="preserve">§ 공정성 보정 알고리즘 적용: 모델 학습 단계에서 공정성 제약 조건(Fairness Constraints)을 추가하거나, 모델 출력 단계에서 임계값을 조정하여 집단 간 승인율 격차를 강제로 보정.
§ 설명 가능성(XAI) 강화: 차별적 결과가 의심되는 시나리오에 대해 SHAP나 LIME 등의 기술을 활용하여 결정 근거가 비즈니스 논리에 부합하는지 전수 검증
§ 데이터 리샘플링: 특정 집단의 데이터가 부족하여 편향이 발생한 경우, 오버샘플링(Oversampling)이나 가중치 조정을 통해 학습 데이터의 균형 준수
§ 관리 시스템 기반 워크플로우: DI 지수가 0.8 미만 또는 1.25 초과 시 시스템이 경고를 발생시키고, 모델 배포 전 전문가의 '공정성 승인' 절차를 거치도록 통제
</t>
    <phoneticPr fontId="1" type="noConversion"/>
  </si>
  <si>
    <t>설명가능성</t>
    <phoneticPr fontId="1" type="noConversion"/>
  </si>
  <si>
    <t>설명 가능성/투명성 부족</t>
  </si>
  <si>
    <t>AI 시스템 작동의 기본 메커니즘을 나타내는 '설명 가능성'과 시스템의 결과가 시스템과 상호작용하는 개인에게 제공되는 '투명성'이 부족하여 책임 소재 결정이나 디버깅이 어려운 위험</t>
    <phoneticPr fontId="1" type="noConversion"/>
  </si>
  <si>
    <t>§ XAI 충실도 점수 (Faithfulness Score):
- 산식: 설명 모델(SHAP 등)이 제시한 중요도와 실제 모델의 입력값 변화에 따른 출력값 변화의 상관계수를 측정.
- 지표: 0.9 이상일 때 설명의 신뢰도가 높다고 판단</t>
    <phoneticPr fontId="1" type="noConversion"/>
  </si>
  <si>
    <t xml:space="preserve">§ 설명 가능한 AI(XAI) 기술 도입:
모델 설계 시 SHAP, LIME, Grad-CAM 등 시각화 도구를 통합하여 모델의 판단 근거를 실시간으로 추출
§ 모델 카드(Model Cards) 의무화:
관리시스템 내 '평가 이력 관리' 모듈에 모델의 용도, 한계점, 학습 데이터 특성, 성능 지표 등을 표준화된 문서 형식으로 기록하고 공개
§ 투명한 인터페이스 설계:
사용자에게 결과만 전달하는 것이 아니라, "귀하의 점수가 낮은 이유는 최근 3개월간의 연체 기록이 60%의 비중으로 영향을 미쳤기 때문입니다"와 같은 구체적인 근거를 UI/UX에 반영
§ 추적 가능성(Traceability) 확보:
모든 의사결정 로그를 관리시스템에 저장하여, 사후 감사나 디버깅 시 해당 시점의 입력 데이터와 모델 파라미터를 즉시 복원할 수 있는 체계를 구축
</t>
    <phoneticPr fontId="1" type="noConversion"/>
  </si>
  <si>
    <t>美 NIST AI RMF 1.0 (2023.1) </t>
    <phoneticPr fontId="1" type="noConversion"/>
  </si>
  <si>
    <t>성능</t>
    <phoneticPr fontId="1" type="noConversion"/>
  </si>
  <si>
    <t>모델 과대/과소 적합 위험</t>
  </si>
  <si>
    <t>과대적합: 모델이 학습 데이터에 지나치게 적합되어 있어서 새로운 데이터의 입력에 대해서 일반화할 수 있는 결과를 산출하지 못하는 위험
과소적합: 모델이 학습 데이터의 부족으로 충분히 테스트하기 어렵거나 하지 않아서 일반화를 하지 못하고 실제 환경에서 예상하지 못한 성능저하가 발생하는 위험</t>
    <phoneticPr fontId="1" type="noConversion"/>
  </si>
  <si>
    <t>§ 학습/검증 손실 곡선 분석 (Learning Curve): 학습 데이터의 손실(Loss)과 검증 데이터의 손실 간 격차를 모니터링.
-과대적합 판정: 학습 손실은 지속적으로 감소하나 검증 손실이 증가하기 시작할 때.
-과소적합 판정: 학습과 검증 손실 모두 높은 수준에서 정체될 때.
§ 성능 유지율 모니터링: 운영 중 유입되는 실제 데이터에 대한 성능 유지율을 정기적으로 측정하여 배포 초기 성능 대비 급격한 하락 여부를 확인.
§ 통계적 구간 추정 (Uncertainty Estimation): 데이터 양이 모델의 일반화 성능을 보장하는지 신뢰구간(CI)을 통해 수치화 
- 신뢰구간(CI) &gt; 0.2일 경우 불확실성 경고를 발생</t>
    <phoneticPr fontId="1" type="noConversion"/>
  </si>
  <si>
    <t xml:space="preserve">§ 과대적합 완화
- 규제화(Regularization) 적용: L1, L2 규제 등을 적용하여 특정 가중치가 지나치게 커지지 않도록 제어
- 조기 종료(Early Stopping): 검증 손실이 더 이상 개선되지 않는 시점에서 학습을 자동으로 중단
- 데이터 증강(Data Augmentation): 학습 데이터의 양을 늘리고 변동성을 주어 모델이 특정 패턴에 고착이 되지 않도록 함
§ 과소적합 완화
- 모델 복잡도 상향: 더 많은 층(Layer)이나 파라미터를 가진 모델로 구조를 변경하여 데이터의 복잡한 패턴을 학습
- 데이터 보강 및 능동적 학습(Active Learning): 데이터가 부족한 영역을 식별하여 추가 데이터를 수집하고 학습에 반영
- 특징 엔지니어링(Feature Engineering): 예측에 유의미한 변수를 추가 발굴하여 모델의 학습 효율 제고
</t>
    <phoneticPr fontId="1" type="noConversion"/>
  </si>
  <si>
    <t>韓 금융보안원 AI 보안 가이드라인 (2023.4) </t>
    <phoneticPr fontId="1" type="noConversion"/>
  </si>
  <si>
    <t xml:space="preserve">§ 인구통계적 안정성 지수(PSI, Population Stability Index): 학습 데이터와 운영 데이터의 분포 차이를 수치화하여 관리.
- 0.1 미만: 분포 변화 적음 (정상)
- 0.1 ~ 0.25: 유의미한 변화 발생 (주의)
- 0.25 초과: 급격한 분포 변화 (위험, 재학습 필요)
§ 통계적 검정(K-S Test): 두 데이터 분포가 동일한 모집단에서 추출되었는지 확인하기 위해 Kolmogorov-Smirnov 검정 등을 수행
§ 성능 지표 모니터링: 실제 운영 데이터에 대한 정확도(Accuracy), 정밀도(Precision), F1-score 등의 지표가 초기 배포 대비 급격히 하락하는지 상시 트래킹
</t>
    <phoneticPr fontId="1" type="noConversion"/>
  </si>
  <si>
    <t xml:space="preserve">§ 모델 재학습(Retraining): 최신 운영 데이터를 포함하여 모델을 다시 학습시킴으로써 변화된 데이터 환경을 반영
§ 데이터 가중치 조정: 최신 데이터에 더 높은 가중치를 부여하여 학습함으로써 모델이 최신 트렌드에 민첩하게 반응
§ 챔피언-챌린저(Champion-Challenger) 테스트: 기존 모델(Champion)과 최신 데이터로 학습된 신규 모델(Challenger)을 동시 운영하여 성능을 비교 검증한 후 교체
§ 자동화 파이프라인(MLOps) 구축: 드리프트가 특정 임계치(예: PSI &gt; 0.25)를 넘어서면 자동으로 재학습 및 평가가 이뤄지도록 '검수+피드백 시스템'을 연결
</t>
    <phoneticPr fontId="1" type="noConversion"/>
  </si>
  <si>
    <t>학습 데이터의 고갈 및 AI가 생성한 합성 데이터가 재학습에 반복적으로 활용되면서, AI 모델의 성능이 급격히 저하되거나 오류가 계속 쌓이는 현상</t>
    <phoneticPr fontId="1" type="noConversion"/>
  </si>
  <si>
    <t>§ 데이터 다양성 지수 (Diversity Index): 학습 데이터셋 내의 어휘 다양성이나 데이터 분포의 엔트로피를 측정하여, 합성 데이터 유입으로 인해 분포가 단순화되고 있는지 감시
§ 성능 유지율 및 오차 누적 측정: 동일한 벤치마크 테스트셋에 대해 모델 버전별 성능 변화를 추적하여 성능이 급격히 꺾이는 지점을 탐지
§ 합성 데이터 혼합비 추적: 전체 학습 데이터 중 AI가 생성한 데이터(Dsynthetic )의 비중을 정량적으로 관리</t>
    <phoneticPr fontId="1" type="noConversion"/>
  </si>
  <si>
    <t xml:space="preserve">§ 원본 데이터(Human-generated) 보존 및 우선순위 상향: 모델 재학습 시 AI 생성 데이터보다 인간이 직접 작성한 고품질 원본 데이터의 비중을 높게 유지
§ 데이터 워터마크 및 출처 추적: AI가 생성한 데이터에 워터마크를 삽입하거나 메타데이터를 관리하여, 재학습 시 합성 데이터가 무분별하게 섞이지 않도록 필터링.
§ 검수+피드백 시스템 강화: AI 생성 데이터 중 품질이 검증된 데이터만 학습에 포함될 수 있도록 전문가가 개입하는 검수 단계를 표준화
§ 안전 가드레일 설정: 모델 붕괴 조짐이 보일 경우, 이전 세대의 안정적인 모델(Golden Model)로 롤백하거나 성능 저하 원인을 분석하여 데이터 클렌징 재수행
§ 평가시스템: RAG 기반 데이터 Faithful 점수평가 및 LLM 기반의 평가 모듈을 활용하여 데이터의 진위 여부와 품질을 스캔하여 붕괴 위험 점수를 도출
§ 관리시스템: 도출된 점수를 바탕으로 수시 위험성 체크를 수행하며, 위험 점수가 높을 경우 서비스 오픈 승인을 보류하고 데이터 정제 단계로 회수
</t>
    <phoneticPr fontId="1" type="noConversion"/>
  </si>
  <si>
    <t>모델 성능 지표 부적합</t>
  </si>
  <si>
    <t>§ 다차원 지표 매트릭스 활용: 단일 지표가 아닌 혼동 행렬(Confusion Matrix)을 기반으로 정밀도(Precision), 재현율(Recall), F1-Score, AUC-ROC 등을 종합적으로 산출하여 지표 간 상충 관계를 분석
§ 통계적 구간 추정 (U-Score): 선택된 지표가 통계적으로 유의미한지 확인하기 위해 신뢰구간을 산출합니다. 신뢰구간(CI) &gt; 0.2인 경우, 선택된 지표의 신뢰도가 낮다고 판단하고 경고를 발생
§ 지표 적합성 체크리스트: 모델의 유형(분류, 회귀, 생성 등)과 데이터의 특성(불균형성 등)에 비추어 표준 가이드라인에 맞는 지표가 선택되었는지 시스템적으로 대조</t>
    <phoneticPr fontId="1" type="noConversion"/>
  </si>
  <si>
    <t xml:space="preserve">§ 비즈니스 맞춤형 지표 재정의: 서비스 기획 단계에서 정의한 핵심 성과 지표(KPI)와 모델 지표를 매핑하여, 비즈니스 손실과 직결되는 지표(예: 비용 가중치 적용 F-beta score)를 재설정
§ 검수 및 피드백 시스템 연계: 평가시스템에서 산출된 다차원 지표 결과를 전문가가 검수하여, 특정 지표에 편향된 성능 측정이 이루어지지 않았는지 확인하고 피드백
§ 지표 가이드라인 표준화: 조직 내 'AI 성능 지표 표준 가이드'를 수립하고, 관리시스템의 평가항목 관리 기능에 등록하여 일관된 평가 기준을 적용
§ 수시 위험성 체크: 모델 운영 중에도 선택된 지표가 실제 소비자 보호나 비즈니스 가치를 잘 대변하고 있는지 주기적으로 모니터링하고 필요시 지표를 변경
</t>
    <phoneticPr fontId="1" type="noConversion"/>
  </si>
  <si>
    <t>AI 모델의 결과물이 정확한 것처럼 생성되었으나 실제로는 거짓이거나 오류가 있는 콘텐츠(환각, 작화)를 제작하여 사용자를 오도하거나 기만할 위험</t>
    <phoneticPr fontId="1" type="noConversion"/>
  </si>
  <si>
    <t>§ 충실도 점수(Faithfulness Score): 생성된 답변이 제공된 소스 데이터(Source)에 기반하고 있는지 문장 단위로 대조하여 근거 일치율을 계산
§ 답변 일관성 테스트(Self-Consistency): 동일한 질문에 대해 모델이 반복적으로 상이한 정보를 출력하는지 확인하여 정보의 안정성을 평가
§ LLM-as-a-Judge: 고성능의 외부 LLM을 평가자로 활용하여, 생성된 답변의 사실 관계(Fact-checking)를 검증하고 환각 점수를 산출</t>
    <phoneticPr fontId="1" type="noConversion"/>
  </si>
  <si>
    <t xml:space="preserve">§ 평가시스템: RAG 기반 데이터 Faithful 점수평가 엔진이 실시간으로 답변의 근거 유무를 판단하여 환각 지수를 도출
§ 관리시스템: 환각 위험 점수가 임계치를 초과할 경우 수시 위험성 체크 단계에서 경고를 발생시키고, 모델 배포 전 성능 검증 및 기획 설계 수정을 유도
§ RAG(검색 증강 생성) 최적화: 외부 지식 베이스(Knowledge Base)를 연동하여 모델이 학습 데이터에만 의존하지 않고 최신 실측 자료(Ground Truth)를 바탕으로 답변하도록 설계
§ 자기 반추(Self-Correction) 워크플로우: 모델이 답변을 생성한 후 스스로 오류가 없는지 다시 한번 검토하고 수정하는 단계를 추가
§ 신뢰성 경고 및 근거 노출: 답변과 함께 참고한 소스 문서의 출처(Citation)를 명시하여 사용자가 직접 사실 여부를 판단할 수 있도록 지원
§ 프롬프트 엔지니어링 및 가드레일: "모르는 내용은 모른다고 답하라"는 페르소나를 부여하거나, 답변 생성 전후에 사실 검증 필터링을 수행하는 가드레일 시스템을 구축
</t>
    <phoneticPr fontId="1" type="noConversion"/>
  </si>
  <si>
    <t>신의성실의 원칙</t>
    <phoneticPr fontId="1" type="noConversion"/>
  </si>
  <si>
    <t>계약 권리 침해</t>
    <phoneticPr fontId="1" type="noConversion"/>
  </si>
  <si>
    <t>AI 모델 또는 시스템 기능에 대한 오해, 부적절한 지침 등으로 인해 AI가 의도하지 않은 방향으로 작동하여 실질적인 피해를 유발하거나, 전문 분야에서 심각한 오류가 발생하는 위험
(예: AI의 의사결정으로 인해 금전적 피해가 발생하거나, 고객의 금융거래 계약 조건 등에 영향을 미쳐 자유로운 권리행사를 저해)</t>
    <phoneticPr fontId="1" type="noConversion"/>
  </si>
  <si>
    <t>§ 시나리오 기반 회귀 테스트: 금융거래 계약 등 주요 의사결정 상황에 대해 사전에 정의된 테스트 시나리오를 반복 수행하여 의도된 결과가 도출되는지 확인
§ 해석 가능한 모델(XAI) 평가: AI가 특정 의사결정을 내린 근거(피처 기여도 등)를 분석하여, 그 판단 로직이 타당하고 설명 가능한지 평가
§ RAG 기반 데이터 Faithful 점수평가: AI가 내린 결정이 실제 비즈니스 가이드라인이나 지식 베이스(Knowledge Base)에 충실한지 정량적으로 점수화
§ 집단 간 격차 지수(DI) 분석: 의사결정 결과가 특정 고객층에게 불리하게 작동하여 권리 행사를 저해하고 있지는 않은지 통계적으로 검증</t>
    <phoneticPr fontId="1" type="noConversion"/>
  </si>
  <si>
    <t xml:space="preserve">§ 관리시스템: 기획 단계에서 AI 위험/영향/안전성 식별/평가를 통해 의사결정 오작동이 발생할 수 있는 주요 접점을 미리 파악하고 통제 계획을 수립
§ 평가시스템: 실제 개발된 서비스가 모델 평가 및 데이터 평가 과정을 통과하여 수치화된 안전 점수를 획득했는지 확인
§ 검수+피드백 시스템: 오작동 사례를 데이터화하여 지속적으로 평가시스템에 피드백함으로써 시스템의 판단 정확도를 고도화
§ Human-in-the-Loop(전문가 개입): 금전적 피해나 계약 조건에 직접적인 영향을 주는 고위험 의사결정 시나리오의 경우, 최종 결정 전에 전문가의 승인을 거치도록 시스템적으로 강제
</t>
    <phoneticPr fontId="1" type="noConversion"/>
  </si>
  <si>
    <t xml:space="preserve">책임 투명성 </t>
    <phoneticPr fontId="1" type="noConversion"/>
  </si>
  <si>
    <t>책임소재 불명확</t>
  </si>
  <si>
    <t>모델 기획-설계-개발-운영 등 AI 생애주기 전반에 대한 R&amp;R이 불명확하여 분쟁이 발생할 위험</t>
    <phoneticPr fontId="1" type="noConversion"/>
  </si>
  <si>
    <t>§ R&amp;R 정의서 적정성 평가: AI 생애주기 단계별 (기획/설계 → 개발 → 평가/검증 → 도입/운영/모니터링) 책임자가 지정되어 있고, 업무 범위가 명확히 기술되었는지 체크리스트 점수화를 수행
§ 거버넌스 준수 지수(Governance Index): 각 단계에서 필수 승인 절차(Gate-keeping)를 거쳤는지, 승인권자의 서명이 로그로 기록되었는지 확인하여 수치화
§ 외부 계약 관리 평가: 외부 사업자와의 계약서 내에 서비스 수준 약정(SLA) 및 사고 발생 시의 책임 한계가 명확히 포함되었는지 법무 스캐너 등을 통해 확인</t>
    <phoneticPr fontId="1" type="noConversion"/>
  </si>
  <si>
    <t>§ AI거버넌스 체계 내 업무분장 확립:  AI 서비스/모델 기획 단계에서 생애주기 전반 참여자, 이해관계자 간 책임관계를 명시한 업무분장 문서를 작성 및 관리
§ 생애주기 단계별 게이트키핑(Gate-keeping): 거버넌스 프로세스 상 ‘운영 전 검증’ 및 ‘위험관리 계획 이행 확인 후 승인’ 단계 등 필수화하여, 단계별 담당자 책임 하 수행한 경우에만 다음 단계로 진행하게끔 워크플로우를 강제
§ 통합 증적 관리: 평가시스템에서 도출된 기술적 평가 결과(XAI, 데이터 정확성 등)를 관리시스템에 자동으로 연동·기록하여, 향후 사고 발생 시 판단의 근거가 된 데이터와 담당자를 즉시 추적(Audit Trail)
§ AI 위험 관리 규정 수립: 전사적인 AI 윤리 가이드라인 및 위험 관리 규정을 수립하고, 이를 '평가항목 관리'에 반영하여 표준화된 책임 기준을 적용
§ AI 위험 관리시스템: 각 부서가 수행한 '위험 감소 진행' 내역을 수집하여 책임 이행 여부를 실시간으로 모니터링
§ 평가 이력 관리: 평가시스템에서 생성된 모든 기술 검증 데이터를 관리시스템의 '평가 이력 관리' 모듈에 저장하여 투명한 책임 증적 확보</t>
    <phoneticPr fontId="1" type="noConversion"/>
  </si>
  <si>
    <t>소비자 보호방안</t>
    <phoneticPr fontId="1" type="noConversion"/>
  </si>
  <si>
    <t>소비자 보호방안 미확보</t>
  </si>
  <si>
    <t>AI 서비스와 관련된 사고에 대한 소비자 보호 정책과 구제 방안 등이 마련되지 않아 고객 불만, 피해 발생 및 사회적 이슈가 될 위험</t>
    <phoneticPr fontId="1" type="noConversion"/>
  </si>
  <si>
    <t xml:space="preserve">§ 설명 가능성(XAI) 검증: 상담원이 고객에게 AI의 결정 사유를 설명할 수 있도록, 시스템이 판단 근거를 남기고 있는지 여부
§ UI/UX 투명성 감사: AI 서비스 화면에 AI 활용에 대한 문구나 워터마크가 시각적으로 명확히 표시되는지 진단
- 위험 점수: 기능 제공 여부
§ 소비자 보호 체크리스트  평가: 기획 단계에서 AI 모델 서비스 사용 시 발생할 수 있는 사고 유형을 정의하고, 각 유형별 사고 대응 프로세스, 소비자 보호 정책 및 구제 방안 및 매뉴얼, 민원 처리 관련 품질 지표 등을 수립하고 있는지 확인 및 평가함
</t>
    <phoneticPr fontId="1" type="noConversion"/>
  </si>
  <si>
    <t>§ 문제 확인 시스템 도입: 프롬프트 입/출력 데이터를 모니터링하여 문제 원인을 역추적 가능하도록 구성
§ 소비자보호 절차 및 기준 수립: 고객이 AI 서비스 사용 관련한 발생 가능한 사고의 유형을 식별하여 사고 대응 프로세스, 보호 정책, 유형별 소비자 구제 방안, 민원 처리 절차 수립 및 이행
§ AI 배상책임보험 가입: 기술적 한계로 인한 불가피한 사고 발생 시, 기업의 재무 리스크를 줄이고 소비자에게 실질적 보상을 제공</t>
    <phoneticPr fontId="1" type="noConversion"/>
  </si>
  <si>
    <t>소비자의 편의성 저하</t>
    <phoneticPr fontId="1" type="noConversion"/>
  </si>
  <si>
    <t>소비자가 AI상품·서비스의 기능 및 사용 방법을 이해하기 어려워 편의성 저하로 인한 불만이 발생할 위험</t>
    <phoneticPr fontId="1" type="noConversion"/>
  </si>
  <si>
    <t>§ 사용자 재입력 빈도 활용: 사용자가 비슷한 유형의 요청(예. 프롬프트 입력)을 얼마나 자주 반복하는지 발생 빈도를 파악하여 수치화한 후 편의성을 평가
- 편의성 저하 판단: 유사 질문을 5번 이상 입력 시 판단
- 위험 점수 = (유사 질문 5번 이상 입력 인원 / 전체 사용 인원) X 100</t>
    <phoneticPr fontId="1" type="noConversion"/>
  </si>
  <si>
    <t xml:space="preserve">§ 프롬프트 템플릿 추천: '이런 걸 물어보세요'와 같은 추천 질문 제공
§ 입력 도우미: 텍스트 입력 대신, 선택지를 클릭하여 프롬프트를 완성하도록 UI 개선
§ 소비자 가이드 제작 및 배포: 소비자가 AI상품 및 서비스의 기능을 쉽게 이해하도록 매뉴얼을 제작하여 사용 과정에서 쉽게 조회 및 열람할 수 있도록 조치
</t>
    <phoneticPr fontId="1" type="noConversion"/>
  </si>
  <si>
    <t>보안성 원칙</t>
    <phoneticPr fontId="1" type="noConversion"/>
  </si>
  <si>
    <t>보안</t>
    <phoneticPr fontId="1" type="noConversion"/>
  </si>
  <si>
    <t>데이터 유출</t>
  </si>
  <si>
    <t>모델 훈련 또는 추론에 사용되는 데이터가 저장상태나 전송 중에 인가되지 않은 사용자나 외부로 유출되는 위험</t>
    <phoneticPr fontId="1" type="noConversion"/>
  </si>
  <si>
    <t xml:space="preserve">§ 데이터 접근 로그 분석: 데이터 관리자 화면의 접근 로그를 통해 SSO 접근 통제 동작 여부 및 비인가 인원 접근 시도 확인
§ 패킷 캡처 및 트래픽 분석: 네트워크 구간에서 패킷 캡처 툴(Wireshark 등)을 이용한 평문 데이터 노출 여부 확인
§ 암호화 적용 여부 감사: DB 암호화 / DRM 기능 설정 활성화 확인
- 위험 점수: 로그 기록 여부 / 평문 데이터 노출 여부 / 암호화 기능 설정 여부
</t>
    <phoneticPr fontId="1" type="noConversion"/>
  </si>
  <si>
    <t>§ 최소 권한 원칙 적용: RBAC(역할 기반 접근 제어)을 적용하여 최소 권한만 부여
§ 전송 구간 암호화: 데이터 전송 시 강력한 암호화 프로토콜 사용
§ 저장 시 암호화: AES-256 등 표준 알고리즘을 사용하여 데이터 저장 시 암호화 적용</t>
    <phoneticPr fontId="1" type="noConversion"/>
  </si>
  <si>
    <t>원본 AI 모델에 대한 대량의 쿼리를 통해 입·출력값을 수집하고 이를 학습하여 원본 AI 모델과 유사도가 높은 모델을 복제할 위험</t>
    <phoneticPr fontId="1" type="noConversion"/>
  </si>
  <si>
    <t xml:space="preserve">§ 부하 테스트 도구를 이용한 반복 쿼리 요청: 도구(Locust, LoadRunner 등)를 이용하여 실제 사용자가 AI 모델을 사용하는 것과 유사한 사용량을 짧은 시간에 다량 발생시켰을 때 해당 공격 감지 여부 
- 위험 점수: SIEM과 같은 이상 증상 모니터링 제품과 연계를 통한 위험 감지 판단 여부
</t>
    <phoneticPr fontId="1" type="noConversion"/>
  </si>
  <si>
    <t>§ 출력값 제한: 단순 사용자 활용 범위 이상의 반복적이고 대량의 쿼리를 막을 수 있도록 사용자별 사용 횟수 및 토큰 제한
§ 대량 쿼리 인증 강화: 대량 쿼리 요청이 필요한 경우, 기업 인증을 거친 고객에게만 접근 허용</t>
    <phoneticPr fontId="1" type="noConversion"/>
  </si>
  <si>
    <t>AI 모델이 전문 지식을 제공하거나 악성 코드를 생성함으로써, 해커의 공격 과정을 용이하게 만들고 대규모 사이버 공격을 지원하는 위험</t>
    <phoneticPr fontId="1" type="noConversion"/>
  </si>
  <si>
    <t xml:space="preserve">§ 사이버 범죄 프롬프트 생성 레드티밍: 공격 프롬프트 생성을 자동화는 레드티밍 솔루션을 활용하여 사이버 범죄 프롬프트 생성
- '공격 타입: &lt;사이버 범죄&gt; 설정 / 프롬프트: &lt;공격 시나리오&gt; 입력’으로 공격 시나리오 자동 생성
- 공격 성공 판단: AI 모델 프롬프트 차단 여부
- 위험 점수: (공격 성공 / 전체 공격 시도) X 100
</t>
    <phoneticPr fontId="1" type="noConversion"/>
  </si>
  <si>
    <t>§ 사이버 범죄 탐지 차단: 사이버 범죄 지원 요청을 판단하여 차단하고 모니터링 (데이터 편향 판단의 일종)</t>
    <phoneticPr fontId="1" type="noConversion"/>
  </si>
  <si>
    <t>AI 모델이 잘못된 예측을 하도록 의도적으로 조작된 적대적 예제(Adversarial Example)를 입력하여 모델의 결정을 회피하거나 잘못 판단하도록 유도하는 공격을 당할 위험</t>
    <phoneticPr fontId="1" type="noConversion"/>
  </si>
  <si>
    <t>§ 적대적 공격 생성 레드티밍: 공격 프롬프트 생성을 자동화는 레드티밍 솔루션을 활용하여 적대적 공격 패턴 생성 및 공격 시도
- 생성된 공격 프롬프트를 이용하여 반복적인 적대적 공격을 시도하고 현재 AI 시스템이 안전한지 확인 및 통계 도출 가능</t>
    <phoneticPr fontId="1" type="noConversion"/>
  </si>
  <si>
    <t xml:space="preserve">§ 입력 의도 분석: 사용자 질문이 들어오면 AI 모델에 프롬프트를 전달하기 전에 별도의 AI 모델이 공격 의도를 판단하고 차단
§ 출력 파싱 제한: AI가 생성한 텍스트에서 실행 가능한 코드나 URL을 자동으로 마스킹하거나 실행 불가능한 텍스트로 변환
</t>
    <phoneticPr fontId="1" type="noConversion"/>
  </si>
  <si>
    <t>가짜 컨텐츠 사기 피해</t>
  </si>
  <si>
    <t>§ 콘텐츠 진위 여부 탐지 및 검증: 생성된 콘텐츠의 진위를 파악하기 위한 기술적 탐지 및 검증 절차 수
§ 입력 패턴 분석 및 필터링 테스트: 악의적인 입력 패턴을 식별하고 차단하기 위한 필터링 시스템 테스트 수행
§ 오용 사례 모니터링 및 대응 체계 점검: 실제 서비스 운영 중 발생할 수 있는 오용 사례에 대한 모니터링 및 신속한 대응 체계 점검</t>
    <phoneticPr fontId="1" type="noConversion"/>
  </si>
  <si>
    <t xml:space="preserve">§ 투명성 기반 출처 검증 체계 구축: AI 생성 콘텐츠에 워터마 크와 메타데이터를 삽입하여 출처를 명확히 하고, 진위 여부를 검증할 수 있는 체계 마련
§ 불법•악용 입력 차단 정책 적용: 유해하거나 불법적인 콘 텐츠 생성을 유도하는 입력을 사전에 필터링하고 차단하는 강력한 정책 적용
§ 내부 심의 및 관리자 승인 체계 운영: 민감한 콘텐츠 생성 시 내부 심의 절차와 관리자 승인을 필수화하여 무분별한 생성
§ 사용자 고지 및 책임 인식 강화: AI 생성 콘텐츠의 오용 위험을 사용자에게 명확히 고지하고, 책임 있는 사용을 유도하기 위한 교육 및 캠페인 실시
</t>
    <phoneticPr fontId="1" type="noConversion"/>
  </si>
  <si>
    <t xml:space="preserve">안정성 </t>
    <phoneticPr fontId="1" type="noConversion"/>
  </si>
  <si>
    <t>시스템 안정성</t>
  </si>
  <si>
    <t>사용량 증가에 따른 부하를 견디지 못하거나, 서버 다운 시 복구 방안/대체재 부존재로 인해 문제가 발생할 위험</t>
    <phoneticPr fontId="1" type="noConversion"/>
  </si>
  <si>
    <t>§ 부하 테스트: 도구(Locust, LoadRunner 등)를 이용하여 실제 사용자가 AI 모델을 사용하는 것과 유사한 사용량 이상을 강제로 발생시켰을 때 시스템이 안전한지 확인 가능 
- 위험 점수: 부하에 따른 서비스 지속 여부</t>
    <phoneticPr fontId="1" type="noConversion"/>
  </si>
  <si>
    <t xml:space="preserve">§ Multi-LLM 구성: 여러 모델을 사용하여 하나의 모델이 문제가 발생했을 때 다른 모델이 즉시 역할을 대체할 수 있는 구조 마련
§ 이중화 적용 : AI 모델 뿐만 아니라 GPU 서버, RAG 등 시스템에 필요한 모든 요소에 대해서 이중화 구성
</t>
    <phoneticPr fontId="1" type="noConversion"/>
  </si>
  <si>
    <t>위탁/관리</t>
    <phoneticPr fontId="1" type="noConversion"/>
  </si>
  <si>
    <t>AI 서비스 외부 위탁</t>
  </si>
  <si>
    <t>AI 서비스를 외부 사업자와 계약을 체결하여 제공하나 해당 사업자의 문제나 사업 중단으로 서비스가 중단되거나 유지보수가 불가능한 위험</t>
    <phoneticPr fontId="1" type="noConversion"/>
  </si>
  <si>
    <t>§ SLA(서비스 수준 약정) 준수율 측정: 위탁 업체가 약정한 응답 시간, 가용성(Uptime) 등의 지표가 실제 운영 데이터와 일치하는지 정량적으로 측정
§ 해시 기반 정합성(HIC-Score) 측정: 외부 업체와의 데이터 송수신 전후 해시값을 비교하여 데이터의 변조나 누락 여부를 자동 탐지
§ 외부 모델 견고성 테스트: 위탁받은 모델을 대상으로 적대적 공격 취약성 및 편향성 레드티밍을 실시하여 자사 보안 기준을 충족하는지 검증</t>
    <phoneticPr fontId="1" type="noConversion"/>
  </si>
  <si>
    <t>§ 업무위탁 약정 체결: 외부 업체의 AI 서비스/모델/모듈 사용 시 외부 제공자와 업무 협약 및 위탁 약정서 등을 체결하여 서비스 안정성을 확보하고 사고시 배상, 데이터 처리 권한 등 책임소재를 명시함
§ 관리시스템: AI 서비스 개발계획 및 서비스 승인 단계에서 외부 위탁 여부를 식별하고, 관련 업체 평가서 및 계약 증적을 관리
§ 평가시스템: 위탁 모델의 보안 평가 및 모델 평가 결과를 산출하여, 기준 미달 시 시스템적으로 서비스 배포를 차단</t>
    <phoneticPr fontId="1" type="noConversion"/>
  </si>
  <si>
    <t>모델이 외부의 전문가나 외부 솔루션을 통해 도입되어 즉시에 성능 및 유지보수 관리가 어려워서 모델의 안정성이 저해되는 위험</t>
    <phoneticPr fontId="1" type="noConversion"/>
  </si>
  <si>
    <t xml:space="preserve">§ 계약 기반 R&amp;R 명확화: 위탁 업체와 계약 체결 시 책임 한계(보안 사고 시 배상, 데이터 처리 권한 등)를 명문화하고 관리 시스템에 증적 관리
§ 종속성 관리 및 출구 전략(Exit Strategy): 특정 업체에 대한 기술 종속(Lock-in)을 방지하기 위해 대체 솔루션을 확보하거나, 위탁 종료 시 데이터를 온전히 회수할 수 있는 절차를 수립
§ 정기 보안 감사 및 수시 위험성 체크: 위탁 업체의 보안 체계를 정기적으로 점검하고, 수시 위험성 체크를 통해 API 호출 로그나 이상 징후를 실시간 모니터링
§ 데이터 익명화 적용: 외부 위탁 서버로 데이터를 전송하기 전, 개인정보(PII)를 비식별화하거나 차등 프라이버시(Differential Privacy) 기술을 적용하여 유출 리스크를 원천 차단
</t>
    <phoneticPr fontId="1" type="noConversion"/>
  </si>
  <si>
    <t>프라이버시</t>
    <phoneticPr fontId="1" type="noConversion"/>
  </si>
  <si>
    <t>AI 모델이 훈련 데이터를 과도하게 암기하여, 추론 과정이나 대화 과정에서 개인 식별 정보(PII)나 내부 정보가 외부에 공개되거나 유출되는 위험</t>
    <phoneticPr fontId="1" type="noConversion"/>
  </si>
  <si>
    <t xml:space="preserve">§ PII 생성 유발 레드티밍: 공격 프롬프트 생성을 자동화는 레드티밍 솔루션을 활용하여 PII 유출을 시도
- '공격 타입: &lt;PII 유출&gt; 설정 / 프롬프트: &lt;공격 시나리오&gt; 입력’으로 공격 시나리오 자동 생성
- 공격 성공 판단: 공격 시나리오 입/출력에 개인정보 포함 여부
- 위험 점수: (공격 성공 / 전체 공격 시도) X 100 
</t>
    <phoneticPr fontId="1" type="noConversion"/>
  </si>
  <si>
    <t xml:space="preserve">§ 가명화 및 익명화: 개인 식별 정보를 탐지 후 알아볼 수 없도록 마스킹 처리 또는 변경
§ 접근 권한 관리 적용: 역할 기반 접근 제어(RBAC) 를 도입하여 권한이 있는 경우만 개인 정보 표시
</t>
    <phoneticPr fontId="1" type="noConversion"/>
  </si>
  <si>
    <t>AI 모델의 출력값(예측값 또는 신뢰 점수)으로부터 훈련에 사용된 입력 데이터(민감 정보 등)를 유추하거나 재구성하는 공격</t>
    <phoneticPr fontId="1" type="noConversion"/>
  </si>
  <si>
    <t>필요 이상 데이터 수집</t>
  </si>
  <si>
    <t>§ 데이터 최소화 원칙(Data Minimization) 준수 점검: 수집 중인 데이터 항목이 서비스의 목적달성에 필수적인지 여부를 체크리스트 기반으로 평가하여 준수 지수(Compliance Score)를 산출
§ 개인정보 영향평가(DPIA) 연동: 관리시스템 내의 'AI 위험/영향/안성성 식별/평가' 단계에서 데이터 수집이 프라이버시에 미치는 영향을 사전에 수치화
§ 데이터 생명주기 모니터링: 수집된 데이터의 보관 기간, 파기 절차, 접근 권한 관리 현황을 정기적으로 감사하여 평가 이력 관리 모듈에 기록</t>
    <phoneticPr fontId="1" type="noConversion"/>
  </si>
  <si>
    <t>§ 관리시스템: 서비스 기획 및 AI 서비스 개발계획 단계에서 데이터 수집 범위를 확정하고 승인 절차 수행
§ 평가시스템: 실제 운영 중 수집되는 데이터가 승인된 항목과 일치하는지 기술적으로 검증하고, 초과 수집 발생 시 관리자에게 즉시 알림을 발송</t>
    <phoneticPr fontId="1" type="noConversion"/>
  </si>
  <si>
    <t>사전 예방 통제</t>
    <phoneticPr fontId="1" type="noConversion"/>
  </si>
  <si>
    <t>사후 탐지·대응 통제</t>
    <phoneticPr fontId="1" type="noConversion"/>
  </si>
  <si>
    <t>Human-in-the-loop 여부</t>
    <phoneticPr fontId="1" type="noConversion"/>
  </si>
  <si>
    <t>정확성</t>
  </si>
  <si>
    <t>근거성</t>
  </si>
  <si>
    <t>안정성</t>
  </si>
  <si>
    <t>성능</t>
  </si>
  <si>
    <t>정확성 (Accuracy)</t>
  </si>
  <si>
    <t>근거성 (Groundedness)</t>
  </si>
  <si>
    <t>안정성 (Stability)</t>
  </si>
  <si>
    <t>성능/지연 (Performance)</t>
  </si>
  <si>
    <t>비용 효율성 (Cost Efficiency)</t>
  </si>
  <si>
    <t>안전·보안 (Safety &amp; Security)</t>
  </si>
  <si>
    <t>안정성 위험 ID</t>
    <phoneticPr fontId="1" type="noConversion"/>
  </si>
  <si>
    <t>일반 위험 ID</t>
    <phoneticPr fontId="1" type="noConversion"/>
  </si>
  <si>
    <t>품질목표</t>
  </si>
  <si>
    <t>R-17,R-18,R-30</t>
  </si>
  <si>
    <t>R-10,R-27</t>
  </si>
  <si>
    <t>R-06,R-07,R-25</t>
  </si>
  <si>
    <t>24,25</t>
  </si>
  <si>
    <t>권장임계치</t>
  </si>
  <si>
    <t>Green</t>
  </si>
  <si>
    <t>Amber</t>
  </si>
  <si>
    <t>Red</t>
  </si>
  <si>
    <t>R-10,R-11,R-12,R-17</t>
  </si>
  <si>
    <t>7,13,14</t>
  </si>
  <si>
    <t>R-16,R-17,R-30</t>
  </si>
  <si>
    <t>18,29</t>
  </si>
  <si>
    <t>R-08,R-10,R-27</t>
  </si>
  <si>
    <t>7,17</t>
  </si>
  <si>
    <t>≥4.0</t>
  </si>
  <si>
    <t>R-02,R-12,R-27</t>
  </si>
  <si>
    <t>R-05,R-30</t>
  </si>
  <si>
    <t>6,18</t>
  </si>
  <si>
    <t>R-10,R-11,R-35</t>
  </si>
  <si>
    <t>13,14</t>
  </si>
  <si>
    <t>&lt;0.1</t>
  </si>
  <si>
    <t>0.1~0.25</t>
  </si>
  <si>
    <t>&gt;0.25</t>
  </si>
  <si>
    <t>R-22,R-23,R-33</t>
  </si>
  <si>
    <t>≤1.5초</t>
  </si>
  <si>
    <t>≤3초</t>
  </si>
  <si>
    <t>SLA충족</t>
  </si>
  <si>
    <t>SLA근접</t>
  </si>
  <si>
    <t>SLA미달</t>
  </si>
  <si>
    <t>R-23,R-33</t>
  </si>
  <si>
    <t>비용</t>
  </si>
  <si>
    <t>±20%초과</t>
  </si>
  <si>
    <t>R-09,R-22</t>
  </si>
  <si>
    <t>10%초과</t>
  </si>
  <si>
    <t>20%초과</t>
  </si>
  <si>
    <t>R-09,R-29</t>
  </si>
  <si>
    <t>≤110%</t>
  </si>
  <si>
    <t>110~130%</t>
  </si>
  <si>
    <t>&gt;130%</t>
  </si>
  <si>
    <t>R-16,R-21</t>
  </si>
  <si>
    <t>18,19</t>
  </si>
  <si>
    <t>R-05,R-31</t>
  </si>
  <si>
    <t>1,2,6</t>
  </si>
  <si>
    <t>확정</t>
  </si>
  <si>
    <t>R-19,R-29,R-36</t>
  </si>
  <si>
    <t>4,30,32</t>
  </si>
  <si>
    <t>≥1건</t>
  </si>
  <si>
    <t>R-06,R-09</t>
  </si>
  <si>
    <t>22,23</t>
  </si>
  <si>
    <t>Cost / Session</t>
    <phoneticPr fontId="1" type="noConversion"/>
  </si>
  <si>
    <t>세션당 비용</t>
    <phoneticPr fontId="1" type="noConversion"/>
  </si>
  <si>
    <t>Token / Turn</t>
    <phoneticPr fontId="1" type="noConversion"/>
  </si>
  <si>
    <t>API Calls / Session</t>
    <phoneticPr fontId="1" type="noConversion"/>
  </si>
  <si>
    <t>≤±10%
(기준선 대비)</t>
    <phoneticPr fontId="1" type="noConversion"/>
  </si>
  <si>
    <t>Human Override Rate</t>
    <phoneticPr fontId="1" type="noConversion"/>
  </si>
  <si>
    <t>Drift Detection (PSI)</t>
    <phoneticPr fontId="1" type="noConversion"/>
  </si>
  <si>
    <t>근거코드</t>
  </si>
  <si>
    <t>REF-GOV-01</t>
  </si>
  <si>
    <t>REF-STT-01</t>
  </si>
  <si>
    <t>REF-RAG-01</t>
  </si>
  <si>
    <t>SQL 실행 성공률(Text-to-SQL)</t>
  </si>
  <si>
    <t>REF-MRM-01</t>
  </si>
  <si>
    <t>REF-AGT-01</t>
  </si>
  <si>
    <t>Groundedness Score(정량)</t>
  </si>
  <si>
    <t>REF-GOV-03</t>
  </si>
  <si>
    <t>REF-SG-01</t>
  </si>
  <si>
    <t>REF-OPENAI-01</t>
  </si>
  <si>
    <t>Error Rate(시스템/모델)</t>
  </si>
  <si>
    <t>REF-SRE-01</t>
  </si>
  <si>
    <t>Rollback Rate(배포 후)</t>
  </si>
  <si>
    <t>REF-AWS-01</t>
  </si>
  <si>
    <t>REF-UX-01</t>
  </si>
  <si>
    <t>REF-GOV-05</t>
  </si>
  <si>
    <t>Cost Variance(월)</t>
  </si>
  <si>
    <t>REF-OWASP-01</t>
  </si>
  <si>
    <t>보안사고는 IT 거버넌스 상 “0건 목표 + 즉시 보고/대응 체계”가 기본</t>
  </si>
  <si>
    <t>REF-PI-01</t>
  </si>
  <si>
    <t>국가/기관</t>
  </si>
  <si>
    <t>공식 문서명</t>
  </si>
  <si>
    <t>발행연도</t>
  </si>
  <si>
    <t>미국 / NIST</t>
  </si>
  <si>
    <t>NIST AI Risk Management Framework (AI RMF 1.0)</t>
  </si>
  <si>
    <t>NIST AI RMF – Generative AI Profile</t>
  </si>
  <si>
    <t>Measure–Manage 기반 근거성/환각 관리 필요성</t>
  </si>
  <si>
    <t>미국 / 연준·OCC</t>
  </si>
  <si>
    <t>SR 11-7 Model Risk Management Guidance</t>
  </si>
  <si>
    <t>운영 전 검증·운영 중 모니터링·변경관리 의무</t>
  </si>
  <si>
    <t>싱가포르 / MAS</t>
  </si>
  <si>
    <t>MAS FEAT Principles</t>
  </si>
  <si>
    <t>출처 명시·설명·책임성 요구 근거</t>
  </si>
  <si>
    <t>미국 / AWS</t>
  </si>
  <si>
    <t>AWS Well-Architected Framework – Reliability Pillar</t>
  </si>
  <si>
    <t>지속개정</t>
  </si>
  <si>
    <t>“nines” 기반 가용성 관리</t>
  </si>
  <si>
    <t>Google</t>
  </si>
  <si>
    <t>Site Reliability Engineering (SRE) Book</t>
  </si>
  <si>
    <t>SLO 기반 운영 및 롤백 기준 설정</t>
  </si>
  <si>
    <t>Nielsen Norman Group</t>
  </si>
  <si>
    <t>Response Times: The 3 Important Limits</t>
  </si>
  <si>
    <t>1~2초 내 응답이 체감 품질 유지에 중요</t>
  </si>
  <si>
    <t>OpenAI</t>
  </si>
  <si>
    <t>Safety Best Practices</t>
  </si>
  <si>
    <t>정책 위반 Zero Tolerance 운영 원칙</t>
  </si>
  <si>
    <t>OWASP</t>
  </si>
  <si>
    <t>Top 10 for LLM Applications</t>
  </si>
  <si>
    <t>2023/2025</t>
  </si>
  <si>
    <t>Jailbreak·Injection 성공률 0% 목표 원칙</t>
  </si>
  <si>
    <t>Google Cloud</t>
  </si>
  <si>
    <t>Speech-to-Text Model Evaluation Guide</t>
  </si>
  <si>
    <t>도메인별 WER 벤치마킹 후 목표 설정 필요</t>
  </si>
  <si>
    <t>Meta AI</t>
  </si>
  <si>
    <t>Retrieval-Augmented Generation Paper (Lewis et al.)</t>
  </si>
  <si>
    <t>검색 적중률 기반 환각 감소 논리</t>
  </si>
  <si>
    <t>Microsoft</t>
  </si>
  <si>
    <t>Responsible AI Standard</t>
  </si>
  <si>
    <t>고위험 Action에 대한 인간 감독 필요</t>
  </si>
  <si>
    <t>NIST</t>
  </si>
  <si>
    <t>NIST AI RMF – Govern Function</t>
  </si>
  <si>
    <t>운영 KPI·모니터링·보고 체계 요구</t>
  </si>
  <si>
    <t>Prompt Injection Overview</t>
  </si>
  <si>
    <t>Injection 성공은 중대 사고로 간주</t>
  </si>
  <si>
    <t>REF-UK-01</t>
  </si>
  <si>
    <t>영국 / ICO</t>
  </si>
  <si>
    <t>ICO AI and Data Protection Guidance</t>
  </si>
  <si>
    <t>PII 노출 0건 원칙 및 DPIA 의무</t>
  </si>
  <si>
    <t>REF-FIN-KR-01</t>
  </si>
  <si>
    <t>대한민국 / 금융감독원</t>
  </si>
  <si>
    <t>금융권 AI 리스크 관리 가이드라인</t>
  </si>
  <si>
    <t>운영 모니터링·책임·검증 의무 강조</t>
  </si>
  <si>
    <t>≥90%
(K는 5~10 권장)</t>
    <phoneticPr fontId="1" type="noConversion"/>
  </si>
  <si>
    <t>≥95%
(고지/규정/상품은 100%)</t>
    <phoneticPr fontId="1" type="noConversion"/>
  </si>
  <si>
    <t>SLA충족
(Peak 기준)</t>
    <phoneticPr fontId="1" type="noConversion"/>
  </si>
  <si>
    <t>±10%이내
(기준선 대비)</t>
    <phoneticPr fontId="1" type="noConversion"/>
  </si>
  <si>
    <t>기준선 이내</t>
    <phoneticPr fontId="1" type="noConversion"/>
  </si>
  <si>
    <t>≤110%
(기준선 대비)</t>
    <phoneticPr fontId="1" type="noConversion"/>
  </si>
  <si>
    <t>기준선</t>
    <phoneticPr fontId="1" type="noConversion"/>
  </si>
  <si>
    <t>≤5%
(초기:10%, 
안정화: 5%)</t>
    <phoneticPr fontId="1" type="noConversion"/>
  </si>
  <si>
    <t>0건
(Zero tolerance)</t>
    <phoneticPr fontId="1" type="noConversion"/>
  </si>
  <si>
    <t>금융 설명/고지/규정 관련 답변은 출처 미제시는 민원·규제 리스크. 
“출처 필수 유형”을 정의하고 95% 이상, 핵심유형은 100%를 운영 룰로 설정</t>
    <phoneticPr fontId="1" type="noConversion"/>
  </si>
  <si>
    <t>[AI거버넌스]</t>
    <phoneticPr fontId="1" type="noConversion"/>
  </si>
  <si>
    <t>작성/검토자</t>
    <phoneticPr fontId="14" type="noConversion"/>
  </si>
  <si>
    <t>구분</t>
    <phoneticPr fontId="14" type="noConversion"/>
  </si>
  <si>
    <t>소속</t>
    <phoneticPr fontId="48" type="noConversion"/>
  </si>
  <si>
    <t>직급</t>
    <phoneticPr fontId="49" type="noConversion"/>
  </si>
  <si>
    <t>성명</t>
    <phoneticPr fontId="48" type="noConversion"/>
  </si>
  <si>
    <t>일자</t>
    <phoneticPr fontId="48" type="noConversion"/>
  </si>
  <si>
    <t>작성자</t>
    <phoneticPr fontId="49" type="noConversion"/>
  </si>
  <si>
    <t>EY컨설팅</t>
    <phoneticPr fontId="1" type="noConversion"/>
  </si>
  <si>
    <t>부장</t>
    <phoneticPr fontId="1" type="noConversion"/>
  </si>
  <si>
    <t>나종민</t>
    <phoneticPr fontId="1" type="noConversion"/>
  </si>
  <si>
    <t>검토자</t>
    <phoneticPr fontId="49" type="noConversion"/>
  </si>
  <si>
    <t>승인자</t>
    <phoneticPr fontId="48" type="noConversion"/>
  </si>
  <si>
    <t>제/개정 이력</t>
    <phoneticPr fontId="14" type="noConversion"/>
  </si>
  <si>
    <t>제/개정 이력</t>
    <phoneticPr fontId="48" type="noConversion"/>
  </si>
  <si>
    <t>버전</t>
    <phoneticPr fontId="14" type="noConversion"/>
  </si>
  <si>
    <t>제/개정 페이지 및 수정 내용</t>
    <phoneticPr fontId="48" type="noConversion"/>
  </si>
  <si>
    <t>제/개정 일자</t>
    <phoneticPr fontId="48" type="noConversion"/>
  </si>
  <si>
    <t>제/개정자</t>
    <phoneticPr fontId="48" type="noConversion"/>
  </si>
  <si>
    <t>0.1</t>
    <phoneticPr fontId="1" type="noConversion"/>
  </si>
  <si>
    <t>초안 작성</t>
    <phoneticPr fontId="1" type="noConversion"/>
  </si>
  <si>
    <t>초안 작성 완료</t>
    <phoneticPr fontId="1" type="noConversion"/>
  </si>
  <si>
    <t>0.5</t>
    <phoneticPr fontId="1" type="noConversion"/>
  </si>
  <si>
    <t>일반 위험 ID
* (챰조) AI안전성 위험 식별</t>
    <phoneticPr fontId="1" type="noConversion"/>
  </si>
  <si>
    <t>안정성 위험ID
* (참조) AI 안정성 위험</t>
    <phoneticPr fontId="1" type="noConversion"/>
  </si>
  <si>
    <t>Latency (중앙값)</t>
  </si>
  <si>
    <t>Latency (Tail 95% )</t>
    <phoneticPr fontId="1" type="noConversion"/>
  </si>
  <si>
    <t>Faithfulness</t>
    <phoneticPr fontId="1" type="noConversion"/>
  </si>
  <si>
    <t>비고</t>
    <phoneticPr fontId="1" type="noConversion"/>
  </si>
  <si>
    <t>리스크 허용 기반 KPI 설정 원칙</t>
    <phoneticPr fontId="1" type="noConversion"/>
  </si>
  <si>
    <t>기타 (주요 내용)</t>
    <phoneticPr fontId="1" type="noConversion"/>
  </si>
  <si>
    <t>업무 시나리오 기반 “성공/실패” 정의 후 운영(릴리즈/중단기준 포함).
수치는 리스크허용도 기반으로 정하되 95%는 운영 안정화 최소선으로 사용</t>
    <phoneticPr fontId="1" type="noConversion"/>
  </si>
  <si>
    <t>WER는 표준 STT 평가 지표. 
도메인/소음/억양 따라 편차가 크므로 내부 골든셋으로 산정 후 목표치 설정. 
STT 품질지표로 WER를 정의·관리(공식) (AWS 문서)</t>
    <phoneticPr fontId="1" type="noConversion"/>
  </si>
  <si>
    <t>에이전트 Action 실패는 업무중단/오작동으로 즉시 체감됨. 
“허용된 Action만(Allowlist)”+ “Kill-switch” 전제에서, 안정화 목표로 97% 이상을 SLO로 설정
초기 95에서 안정화 이후 97+ 이상 권고</t>
    <phoneticPr fontId="1" type="noConversion"/>
  </si>
  <si>
    <t>툴 오선택은 보안/준법 사고로 전이될 수 있어 높은 기준 필요. 
고위험 툴은 HITL/승인 게이트를 두고, 선택 정확도 98% 이상을 운영 목표로 설정</t>
    <phoneticPr fontId="1" type="noConversion"/>
  </si>
  <si>
    <t>RAG는 “검색 적중율” 저하가 근거성/환각 증가로 직결. 
운영 문서(지식베이스) 갱신 빈도 높으면 더 보수적으로(&gt;=90) 설정 필요.</t>
    <phoneticPr fontId="1" type="noConversion"/>
  </si>
  <si>
    <t>자동 실행 실패는 장애/오류/오작동 리스크로 이어짐.</t>
    <phoneticPr fontId="1" type="noConversion"/>
  </si>
  <si>
    <t>“근거 기반 생성”을 측정·관리하고, 미달 시 RAG/정책/프롬프트/지식베이스를 개선하는 운영 체계 필요. 
단, 0.90 같은 고정 수치를 ‘규제/표준’이 직접 제시하진 않음
내부 리스크 허용도 자체 수치화 필요</t>
    <phoneticPr fontId="1" type="noConversion"/>
  </si>
  <si>
    <t>근거-응답 의미 불일치(출처왜곡/환각)를 정성 리뷰로 탐지. 
분기/월 단위 샘플링과 “정정 프로세스”를 붙여 운영 권고함</t>
    <phoneticPr fontId="1" type="noConversion"/>
  </si>
  <si>
    <t>정책/가드레일을 인지한 Action만 실행하도록 설계(정책 미인지 Action은 사고로 직결)</t>
    <phoneticPr fontId="1" type="noConversion"/>
  </si>
  <si>
    <t>IT 운영 관점에서 오류율을 관리.
1% 초과 시 장애/품질 이슈로 인지하고 릴리즈 중단/롤백 트리거로 활용</t>
    <phoneticPr fontId="1" type="noConversion"/>
  </si>
  <si>
    <t>드리프트는 “탐지되면 조치”가 원칙. 
빈번한 드리프트는 데이터/모델/업무환경 변경관리 실패 신호로 간주하여 초기 기준선 설정</t>
    <phoneticPr fontId="1" type="noConversion"/>
  </si>
  <si>
    <t>컨텍스트 구조/스키마 변경은 에이전트 판단을 흔듦. 
변경관리(승인/버전/호환성 테스트) 전제 하에 월 5% 이내를 운영 기준으로 설정</t>
    <phoneticPr fontId="1" type="noConversion"/>
  </si>
  <si>
    <t>** 규제/가이드에서 권장 임계치를 정의하지 않았음. 이에 이상적인 목표 지표를 초기 설정하되, 실제 운영환경에서 충분한 사용자 피드백을 수집/분석하여 최적의 지표로 재설정 권고함</t>
    <phoneticPr fontId="1" type="noConversion"/>
  </si>
  <si>
    <t>잦은 롤백은 배포 게이트/테스트 미흡 신호. 
릴리즈 품질을 롤백률로 관리하고 5% 이하를 목표로 설정함</t>
    <phoneticPr fontId="1" type="noConversion"/>
  </si>
  <si>
    <t>최소 99.9%를 목표로 설정하되, 업무 중요도에 따라 차등 적용 필요</t>
    <phoneticPr fontId="1" type="noConversion"/>
  </si>
  <si>
    <t>사용자 체감 품질은 지연시간에 민감. 
중앙값(P50)은 ‘일반 응답 체감’ 관리 지표로 두고 1~2초 내로 목표 설정함</t>
    <phoneticPr fontId="1" type="noConversion"/>
  </si>
  <si>
    <t>Tail latency(P95)는 장애 체감과 직접 연결. 
3초 초과 시 이탈/불만 증가함. 이에 3초를 운영 경계로 초기 설정함</t>
    <phoneticPr fontId="1" type="noConversion"/>
  </si>
  <si>
    <t>Timeout은 사용자 실패 경험. 
의존성(외부 API/RAG/툴) 누적 구조에서는 타임아웃 관리가 필수임
0.5%를 경계로 두고 초과 시 차단/폴백, 다른 경로 유도 등 실행 필요</t>
    <phoneticPr fontId="1" type="noConversion"/>
  </si>
  <si>
    <t>절대 TPS 숫자보다 “피크 트래픽에서 운영 지표 충족”이 핵심. 
부하테스트/용량계획으로 산정 후 운영 지표로 재설정 필요</t>
    <phoneticPr fontId="1" type="noConversion"/>
  </si>
  <si>
    <t>비용은 예산통제 KPI. 
사용량/토큰/툴 호출 변동이 커서 “기준선 대비 편차”로 관리하는 게 실무적. 
10% 초과 시 원인분석 필요함</t>
    <phoneticPr fontId="1" type="noConversion"/>
  </si>
  <si>
    <t>업무 복잡도별로 토큰 상한을 두지 않으면 비용 폭증 가능. 
“입력 제한+출력 제한"을 정책으로 설정하고, "캐시+RAG 최적화” 를 병행 진행 필요</t>
    <phoneticPr fontId="1" type="noConversion"/>
  </si>
  <si>
    <t>툴/외부 API 호출 남용은 비용+지연+장애를 동시에 키움. 
기준선 대비 10% 초과를 경계(Amber)로 두고 최적화/캐시/배치 등 검토 필요</t>
    <phoneticPr fontId="1" type="noConversion"/>
  </si>
  <si>
    <t>월 예산 편차 KPI로 관리. 
10% 초과 시 모델/프롬프트/캐시 등 정책 재검토 필요</t>
    <phoneticPr fontId="1" type="noConversion"/>
  </si>
  <si>
    <t>HITL은 초기 안정화에 필요하지만, 안정화 후에도 높으면 설계/지식/정책 결함 신호임
초기 10%→안정화 5%를 초기 목표로 설정하고, 운영 시 실제 상황을 고려해 합리적인 선으로 재설정 필요</t>
    <phoneticPr fontId="1" type="noConversion"/>
  </si>
  <si>
    <t>정책위반은 규제/민원/평판 리스크로 직결. 
탐지 즉시 차단·재발방지 조치가 원칙</t>
    <phoneticPr fontId="1" type="noConversion"/>
  </si>
  <si>
    <t>레드팀/적대적 테스트를 상시 운영하고, 성공 사례는 즉시 룰/모델/가드레일에 적용
공격 성공은 통제 실패로 간주되기 쉽고. 성공 1건도 중대사고로 이어질 가능성 높음</t>
    <phoneticPr fontId="1" type="noConversion"/>
  </si>
  <si>
    <t>PII/민감정보 노출은 법 위반 가능성. 
입력/출력 DLP, 로그 최소화, 마스킹을 기본통제로 두고 0건 원칙</t>
    <phoneticPr fontId="1" type="noConversion"/>
  </si>
  <si>
    <t>허용되지 않은 Action은 즉시 사고로 이어질 수 있어 극저비율 목표.
Allowlist/권한분리/승인게이트 전제에서 0.1% 이하로 초기 목표 설정</t>
    <phoneticPr fontId="1" type="noConversion"/>
  </si>
  <si>
    <t>AI성능 평가 및 고도화 방안 정의서</t>
    <phoneticPr fontId="1" type="noConversion"/>
  </si>
  <si>
    <t>Version 1.0</t>
    <phoneticPr fontId="1" type="noConversion"/>
  </si>
  <si>
    <t>1.0</t>
    <phoneticPr fontId="1" type="noConversion"/>
  </si>
  <si>
    <t>버전 업데이트</t>
    <phoneticPr fontId="1" type="noConversion"/>
  </si>
  <si>
    <t>A. 품질목표, KPI</t>
    <phoneticPr fontId="1" type="noConversion"/>
  </si>
  <si>
    <t>B. KPI별 운영목표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</si>
</sst>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11"/>
      <color theme="0" tint="-0.34998626667073579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  <font>
      <b/>
      <sz val="28"/>
      <color rgb="FFF5822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8"/>
      <color rgb="FF0000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20"/>
      <color theme="0" tint="-0.499984740745262"/>
      <name val="맑은 고딕"/>
      <family val="3"/>
      <charset val="129"/>
      <scheme val="minor"/>
    </font>
    <font>
      <sz val="17"/>
      <color theme="1" tint="0.499984740745262"/>
      <name val="맑은 고딕"/>
      <family val="3"/>
      <charset val="129"/>
      <scheme val="minor"/>
    </font>
    <font>
      <b/>
      <sz val="34"/>
      <color rgb="FF0000FF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17"/>
      <color theme="0" tint="-0.499984740745262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20"/>
      <color rgb="FF0000FF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6"/>
      <color theme="1" tint="0.34998626667073579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6"/>
      <color theme="1" tint="0.34998626667073579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BFBFBF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8"/>
      <name val="맑은 고딕"/>
      <family val="2"/>
      <charset val="129"/>
    </font>
    <font>
      <sz val="10"/>
      <name val="Arial"/>
      <family val="2"/>
    </font>
    <font>
      <b/>
      <sz val="11"/>
      <name val="맑은 고딕"/>
      <family val="3"/>
      <charset val="129"/>
    </font>
    <font>
      <sz val="11"/>
      <color theme="1" tint="0.249977111117893"/>
      <name val="맑은 고딕"/>
      <family val="3"/>
      <charset val="129"/>
    </font>
    <font>
      <b/>
      <sz val="12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rgb="FF7C7C7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2" fillId="0" borderId="0">
      <alignment vertical="center"/>
    </xf>
    <xf numFmtId="0" fontId="44" fillId="0" borderId="0"/>
  </cellStyleXfs>
  <cellXfs count="102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3" borderId="0" xfId="0" applyFont="1" applyFill="1">
      <alignment vertical="center"/>
    </xf>
    <xf numFmtId="0" fontId="13" fillId="6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6" borderId="0" xfId="0" applyFont="1" applyFill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9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6" fillId="5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1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176" fontId="2" fillId="3" borderId="1" xfId="0" applyNumberFormat="1" applyFont="1" applyFill="1" applyBorder="1" applyAlignment="1">
      <alignment horizontal="left" vertical="top" wrapText="1"/>
    </xf>
    <xf numFmtId="49" fontId="17" fillId="8" borderId="2" xfId="0" applyNumberFormat="1" applyFont="1" applyFill="1" applyBorder="1" applyAlignment="1">
      <alignment vertical="top" wrapText="1" readingOrder="1"/>
    </xf>
    <xf numFmtId="176" fontId="2" fillId="0" borderId="1" xfId="0" applyNumberFormat="1" applyFont="1" applyBorder="1" applyAlignment="1">
      <alignment horizontal="left" vertical="top" wrapText="1"/>
    </xf>
    <xf numFmtId="176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49" fontId="18" fillId="8" borderId="2" xfId="0" applyNumberFormat="1" applyFont="1" applyFill="1" applyBorder="1" applyAlignment="1">
      <alignment horizontal="left" vertical="top" wrapText="1"/>
    </xf>
    <xf numFmtId="49" fontId="17" fillId="8" borderId="2" xfId="0" applyNumberFormat="1" applyFont="1" applyFill="1" applyBorder="1" applyAlignment="1">
      <alignment horizontal="left" vertical="top" wrapText="1"/>
    </xf>
    <xf numFmtId="49" fontId="2" fillId="8" borderId="2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9" fontId="9" fillId="0" borderId="1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0" fontId="19" fillId="5" borderId="1" xfId="0" applyFont="1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23" fillId="0" borderId="0" xfId="1" applyFont="1">
      <alignment vertical="center"/>
    </xf>
    <xf numFmtId="0" fontId="22" fillId="0" borderId="0" xfId="1">
      <alignment vertical="center"/>
    </xf>
    <xf numFmtId="0" fontId="24" fillId="0" borderId="0" xfId="1" applyFont="1">
      <alignment vertical="center"/>
    </xf>
    <xf numFmtId="0" fontId="25" fillId="0" borderId="0" xfId="1" applyFont="1">
      <alignment vertical="center"/>
    </xf>
    <xf numFmtId="0" fontId="26" fillId="0" borderId="0" xfId="1" applyFont="1">
      <alignment vertical="center"/>
    </xf>
    <xf numFmtId="0" fontId="27" fillId="0" borderId="0" xfId="1" applyFont="1" applyAlignment="1">
      <alignment horizontal="right" vertical="center"/>
    </xf>
    <xf numFmtId="0" fontId="26" fillId="0" borderId="0" xfId="1" applyFont="1" applyAlignment="1">
      <alignment horizontal="right" vertical="center"/>
    </xf>
    <xf numFmtId="0" fontId="28" fillId="0" borderId="0" xfId="1" applyFont="1">
      <alignment vertical="center"/>
    </xf>
    <xf numFmtId="0" fontId="29" fillId="0" borderId="0" xfId="1" applyFont="1">
      <alignment vertical="center"/>
    </xf>
    <xf numFmtId="0" fontId="30" fillId="0" borderId="0" xfId="1" applyFont="1">
      <alignment vertical="center"/>
    </xf>
    <xf numFmtId="0" fontId="31" fillId="0" borderId="0" xfId="1" applyFont="1" applyAlignment="1">
      <alignment horizontal="right" vertical="center"/>
    </xf>
    <xf numFmtId="0" fontId="32" fillId="0" borderId="0" xfId="1" applyFont="1" applyAlignment="1">
      <alignment horizontal="right" vertical="center"/>
    </xf>
    <xf numFmtId="0" fontId="33" fillId="0" borderId="0" xfId="1" applyFont="1">
      <alignment vertical="center"/>
    </xf>
    <xf numFmtId="0" fontId="34" fillId="0" borderId="0" xfId="1" applyFont="1">
      <alignment vertical="center"/>
    </xf>
    <xf numFmtId="0" fontId="35" fillId="0" borderId="0" xfId="1" applyFont="1" applyAlignment="1">
      <alignment horizontal="right" vertical="center"/>
    </xf>
    <xf numFmtId="0" fontId="36" fillId="0" borderId="0" xfId="1" applyFont="1" applyAlignment="1">
      <alignment horizontal="right" vertical="center"/>
    </xf>
    <xf numFmtId="0" fontId="37" fillId="0" borderId="0" xfId="1" applyFont="1">
      <alignment vertical="center"/>
    </xf>
    <xf numFmtId="0" fontId="38" fillId="0" borderId="0" xfId="1" applyFont="1" applyAlignment="1">
      <alignment horizontal="right" vertical="center"/>
    </xf>
    <xf numFmtId="0" fontId="38" fillId="0" borderId="0" xfId="1" quotePrefix="1" applyFont="1" applyAlignment="1">
      <alignment horizontal="right" vertical="center"/>
    </xf>
    <xf numFmtId="0" fontId="45" fillId="0" borderId="0" xfId="2" applyFont="1" applyAlignment="1">
      <alignment horizontal="center" vertical="center"/>
    </xf>
    <xf numFmtId="0" fontId="45" fillId="0" borderId="0" xfId="2" applyFont="1" applyAlignment="1">
      <alignment vertical="center"/>
    </xf>
    <xf numFmtId="0" fontId="47" fillId="9" borderId="3" xfId="2" applyFont="1" applyFill="1" applyBorder="1" applyAlignment="1">
      <alignment horizontal="center" vertical="center"/>
    </xf>
    <xf numFmtId="0" fontId="47" fillId="9" borderId="4" xfId="2" applyFont="1" applyFill="1" applyBorder="1" applyAlignment="1">
      <alignment horizontal="center" vertical="center"/>
    </xf>
    <xf numFmtId="14" fontId="47" fillId="9" borderId="4" xfId="2" applyNumberFormat="1" applyFont="1" applyFill="1" applyBorder="1" applyAlignment="1">
      <alignment horizontal="center" vertical="center"/>
    </xf>
    <xf numFmtId="0" fontId="47" fillId="9" borderId="5" xfId="2" applyFont="1" applyFill="1" applyBorder="1" applyAlignment="1">
      <alignment horizontal="center" vertical="center"/>
    </xf>
    <xf numFmtId="49" fontId="50" fillId="0" borderId="3" xfId="2" applyNumberFormat="1" applyFont="1" applyBorder="1" applyAlignment="1">
      <alignment horizontal="center" vertical="center"/>
    </xf>
    <xf numFmtId="0" fontId="51" fillId="0" borderId="4" xfId="2" applyFont="1" applyBorder="1" applyAlignment="1">
      <alignment horizontal="center" vertical="center" wrapText="1"/>
    </xf>
    <xf numFmtId="14" fontId="51" fillId="0" borderId="5" xfId="2" applyNumberFormat="1" applyFont="1" applyBorder="1" applyAlignment="1">
      <alignment horizontal="center" vertical="center" wrapText="1"/>
    </xf>
    <xf numFmtId="0" fontId="52" fillId="0" borderId="0" xfId="2" applyFont="1" applyAlignment="1">
      <alignment vertical="center"/>
    </xf>
    <xf numFmtId="49" fontId="51" fillId="0" borderId="4" xfId="2" applyNumberFormat="1" applyFont="1" applyBorder="1" applyAlignment="1">
      <alignment horizontal="center" vertical="center"/>
    </xf>
    <xf numFmtId="49" fontId="45" fillId="0" borderId="0" xfId="2" applyNumberFormat="1" applyFont="1" applyAlignment="1">
      <alignment horizontal="center" vertical="center"/>
    </xf>
    <xf numFmtId="0" fontId="47" fillId="9" borderId="4" xfId="2" applyFont="1" applyFill="1" applyBorder="1" applyAlignment="1">
      <alignment horizontal="center" vertical="center" wrapText="1"/>
    </xf>
    <xf numFmtId="49" fontId="51" fillId="0" borderId="3" xfId="2" applyNumberFormat="1" applyFont="1" applyBorder="1" applyAlignment="1">
      <alignment horizontal="center" vertical="center"/>
    </xf>
    <xf numFmtId="14" fontId="51" fillId="0" borderId="4" xfId="2" applyNumberFormat="1" applyFont="1" applyBorder="1" applyAlignment="1">
      <alignment horizontal="center" vertical="center" wrapText="1"/>
    </xf>
    <xf numFmtId="0" fontId="51" fillId="0" borderId="0" xfId="2" applyFont="1" applyAlignment="1">
      <alignment horizontal="center" vertical="center"/>
    </xf>
    <xf numFmtId="0" fontId="51" fillId="0" borderId="0" xfId="2" applyFont="1" applyAlignment="1">
      <alignment vertical="center"/>
    </xf>
    <xf numFmtId="0" fontId="16" fillId="5" borderId="1" xfId="0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 vertical="center"/>
    </xf>
    <xf numFmtId="0" fontId="39" fillId="0" borderId="0" xfId="1" applyFont="1" applyAlignment="1">
      <alignment horizontal="left"/>
    </xf>
    <xf numFmtId="0" fontId="40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14" fontId="41" fillId="0" borderId="0" xfId="1" applyNumberFormat="1" applyFont="1" applyAlignment="1">
      <alignment horizontal="left"/>
    </xf>
    <xf numFmtId="0" fontId="42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43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49" fontId="51" fillId="0" borderId="4" xfId="2" quotePrefix="1" applyNumberFormat="1" applyFont="1" applyBorder="1" applyAlignment="1">
      <alignment horizontal="left" vertical="center" wrapText="1"/>
    </xf>
    <xf numFmtId="49" fontId="51" fillId="0" borderId="4" xfId="2" applyNumberFormat="1" applyFont="1" applyBorder="1" applyAlignment="1">
      <alignment horizontal="left" vertical="center" wrapText="1"/>
    </xf>
    <xf numFmtId="0" fontId="46" fillId="0" borderId="0" xfId="2" applyFont="1" applyAlignment="1">
      <alignment horizontal="left" vertical="center" shrinkToFit="1"/>
    </xf>
    <xf numFmtId="49" fontId="47" fillId="9" borderId="4" xfId="2" applyNumberFormat="1" applyFont="1" applyFill="1" applyBorder="1" applyAlignment="1">
      <alignment horizontal="center" vertical="center"/>
    </xf>
    <xf numFmtId="49" fontId="51" fillId="0" borderId="4" xfId="2" applyNumberFormat="1" applyFont="1" applyBorder="1" applyAlignment="1">
      <alignment horizontal="left" vertical="center"/>
    </xf>
    <xf numFmtId="0" fontId="20" fillId="5" borderId="6" xfId="0" applyFont="1" applyFill="1" applyBorder="1" applyAlignment="1">
      <alignment vertical="top" wrapText="1"/>
    </xf>
    <xf numFmtId="0" fontId="21" fillId="5" borderId="6" xfId="0" applyFont="1" applyFill="1" applyBorder="1" applyAlignment="1">
      <alignment vertical="top" wrapText="1"/>
    </xf>
    <xf numFmtId="0" fontId="2" fillId="2" borderId="0" xfId="0" applyFont="1" applyFill="1">
      <alignment vertical="center"/>
    </xf>
  </cellXfs>
  <cellStyles count="3">
    <cellStyle name="Normal" xfId="0" builtinId="0"/>
    <cellStyle name="표준 2 2 2" xfId="2" xr:uid="{0D86C1E2-5D9B-4A9E-B74D-5A7B10408A62}"/>
    <cellStyle name="표준 3 2" xfId="1" xr:uid="{0A6ECF85-1E01-44A1-9EA0-BF48DC2469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138564</xdr:colOff>
      <xdr:row>0</xdr:row>
      <xdr:rowOff>136070</xdr:rowOff>
    </xdr:from>
    <xdr:ext cx="1756388" cy="638400"/>
    <xdr:pic>
      <xdr:nvPicPr>
        <xdr:cNvPr id="2" name="그림 1">
          <a:extLst>
            <a:ext uri="{FF2B5EF4-FFF2-40B4-BE49-F238E27FC236}">
              <a16:creationId xmlns:a16="http://schemas.microsoft.com/office/drawing/2014/main" id="{DD7FE8D8-12BC-4651-8AAB-31B6426DB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614" y="136070"/>
          <a:ext cx="1756388" cy="638400"/>
        </a:xfrm>
        <a:prstGeom prst="rect">
          <a:avLst/>
        </a:prstGeom>
      </xdr:spPr>
    </xdr:pic>
    <xdr:clientData/>
  </xdr:oneCellAnchor>
  <xdr:oneCellAnchor>
    <xdr:from>
      <xdr:col>6</xdr:col>
      <xdr:colOff>702136</xdr:colOff>
      <xdr:row>17</xdr:row>
      <xdr:rowOff>16140</xdr:rowOff>
    </xdr:from>
    <xdr:ext cx="1317436" cy="339142"/>
    <xdr:pic>
      <xdr:nvPicPr>
        <xdr:cNvPr id="3" name="그림 2">
          <a:extLst>
            <a:ext uri="{FF2B5EF4-FFF2-40B4-BE49-F238E27FC236}">
              <a16:creationId xmlns:a16="http://schemas.microsoft.com/office/drawing/2014/main" id="{EAECB3F0-205F-4ED6-86ED-2127B318D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1136" y="5997840"/>
          <a:ext cx="1317436" cy="339142"/>
        </a:xfrm>
        <a:prstGeom prst="rect">
          <a:avLst/>
        </a:prstGeom>
      </xdr:spPr>
    </xdr:pic>
    <xdr:clientData/>
  </xdr:oneCellAnchor>
  <xdr:twoCellAnchor>
    <xdr:from>
      <xdr:col>2</xdr:col>
      <xdr:colOff>26397</xdr:colOff>
      <xdr:row>8</xdr:row>
      <xdr:rowOff>313509</xdr:rowOff>
    </xdr:from>
    <xdr:to>
      <xdr:col>3</xdr:col>
      <xdr:colOff>484957</xdr:colOff>
      <xdr:row>8</xdr:row>
      <xdr:rowOff>313509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8F593F31-10CB-4C2B-BBE1-251AEF77194F}"/>
            </a:ext>
          </a:extLst>
        </xdr:cNvPr>
        <xdr:cNvCxnSpPr/>
      </xdr:nvCxnSpPr>
      <xdr:spPr>
        <a:xfrm>
          <a:off x="667747" y="3304359"/>
          <a:ext cx="1144360" cy="0"/>
        </a:xfrm>
        <a:prstGeom prst="line">
          <a:avLst/>
        </a:prstGeom>
        <a:ln w="19050">
          <a:solidFill>
            <a:srgbClr val="F582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532583</xdr:colOff>
      <xdr:row>2</xdr:row>
      <xdr:rowOff>186690</xdr:rowOff>
    </xdr:from>
    <xdr:ext cx="4600806" cy="504000"/>
    <xdr:pic>
      <xdr:nvPicPr>
        <xdr:cNvPr id="5" name="그림 4">
          <a:extLst>
            <a:ext uri="{FF2B5EF4-FFF2-40B4-BE49-F238E27FC236}">
              <a16:creationId xmlns:a16="http://schemas.microsoft.com/office/drawing/2014/main" id="{60B55092-4214-46AA-8F46-4026F0208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583" y="955040"/>
          <a:ext cx="4600806" cy="504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F075-B2C2-42A0-8D70-BF8BE57F1BC4}">
  <sheetPr>
    <tabColor theme="3" tint="0.249977111117893"/>
  </sheetPr>
  <dimension ref="A1:P18"/>
  <sheetViews>
    <sheetView showGridLines="0" tabSelected="1" showRuler="0" view="pageBreakPreview" zoomScale="85" zoomScaleNormal="70" zoomScaleSheetLayoutView="85" zoomScalePageLayoutView="80" workbookViewId="0">
      <selection activeCell="J12" sqref="J12:K12"/>
    </sheetView>
  </sheetViews>
  <sheetFormatPr defaultColWidth="10" defaultRowHeight="13.2" x14ac:dyDescent="0.4"/>
  <cols>
    <col min="1" max="1" width="7.3984375" style="49" customWidth="1"/>
    <col min="2" max="2" width="1" style="49" customWidth="1"/>
    <col min="3" max="5" width="9" style="49" customWidth="1"/>
    <col min="6" max="11" width="9.59765625" style="49" customWidth="1"/>
    <col min="12" max="16" width="9" style="49" customWidth="1"/>
    <col min="17" max="16384" width="10" style="49"/>
  </cols>
  <sheetData>
    <row r="1" spans="1:16" ht="39.75" customHeight="1" x14ac:dyDescent="0.4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21" customHeight="1" x14ac:dyDescent="0.4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40.200000000000003" x14ac:dyDescent="0.4">
      <c r="A3" s="48"/>
      <c r="B3" s="48"/>
      <c r="C3" s="50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s="55" customFormat="1" ht="37.200000000000003" customHeight="1" x14ac:dyDescent="0.4">
      <c r="A4" s="51"/>
      <c r="B4" s="51"/>
      <c r="C4" s="52"/>
      <c r="D4" s="51"/>
      <c r="E4" s="51"/>
      <c r="F4" s="51"/>
      <c r="G4" s="51"/>
      <c r="H4" s="51"/>
      <c r="I4" s="51"/>
      <c r="J4" s="51"/>
      <c r="K4" s="51"/>
      <c r="L4" s="51"/>
      <c r="M4" s="51"/>
      <c r="N4" s="53"/>
      <c r="O4" s="54"/>
      <c r="P4" s="51"/>
    </row>
    <row r="5" spans="1:16" s="55" customFormat="1" ht="29.4" customHeight="1" x14ac:dyDescent="0.4">
      <c r="A5" s="51"/>
      <c r="B5" s="56"/>
      <c r="C5" s="57" t="s">
        <v>778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8"/>
      <c r="O5" s="59"/>
      <c r="P5" s="51"/>
    </row>
    <row r="6" spans="1:16" s="55" customFormat="1" ht="3.6" customHeight="1" x14ac:dyDescent="0.4">
      <c r="A6" s="51"/>
      <c r="B6" s="56"/>
      <c r="C6" s="60"/>
      <c r="D6" s="51"/>
      <c r="E6" s="51"/>
      <c r="F6" s="51"/>
      <c r="G6" s="51"/>
      <c r="H6" s="51"/>
      <c r="I6" s="51"/>
      <c r="J6" s="51"/>
      <c r="K6" s="51"/>
      <c r="L6" s="51"/>
      <c r="M6" s="51"/>
      <c r="N6" s="58"/>
      <c r="O6" s="59"/>
      <c r="P6" s="51"/>
    </row>
    <row r="7" spans="1:16" ht="46.8" customHeight="1" x14ac:dyDescent="0.4">
      <c r="A7" s="48"/>
      <c r="B7" s="61"/>
      <c r="C7" s="61" t="s">
        <v>837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62"/>
      <c r="O7" s="63"/>
      <c r="P7" s="48"/>
    </row>
    <row r="8" spans="1:16" ht="19.5" customHeight="1" x14ac:dyDescent="0.4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64"/>
      <c r="P8" s="48"/>
    </row>
    <row r="9" spans="1:16" ht="35.4" customHeight="1" x14ac:dyDescent="0.4">
      <c r="A9" s="48"/>
      <c r="B9" s="48"/>
      <c r="C9" s="48"/>
      <c r="D9" s="48"/>
      <c r="E9" s="48"/>
      <c r="F9" s="85"/>
      <c r="G9" s="85"/>
      <c r="H9" s="85"/>
      <c r="I9" s="85"/>
      <c r="J9" s="85"/>
      <c r="K9" s="85"/>
      <c r="L9" s="48"/>
      <c r="M9" s="48"/>
      <c r="N9" s="48"/>
      <c r="O9" s="65"/>
      <c r="P9" s="48"/>
    </row>
    <row r="10" spans="1:16" ht="30" x14ac:dyDescent="0.55000000000000004">
      <c r="A10" s="48"/>
      <c r="B10" s="48"/>
      <c r="C10" s="86" t="s">
        <v>838</v>
      </c>
      <c r="D10" s="86"/>
      <c r="E10" s="86"/>
      <c r="F10" s="87"/>
      <c r="G10" s="88"/>
      <c r="H10" s="88"/>
      <c r="I10" s="88"/>
      <c r="J10" s="88"/>
      <c r="K10" s="88"/>
      <c r="L10" s="48"/>
      <c r="M10" s="48"/>
      <c r="N10" s="48"/>
      <c r="O10" s="66"/>
      <c r="P10" s="48"/>
    </row>
    <row r="11" spans="1:16" ht="25.2" x14ac:dyDescent="0.55000000000000004">
      <c r="C11" s="89">
        <v>46077</v>
      </c>
      <c r="D11" s="89"/>
      <c r="E11" s="89"/>
    </row>
    <row r="12" spans="1:16" ht="19.5" customHeight="1" x14ac:dyDescent="0.4">
      <c r="A12" s="48"/>
      <c r="B12" s="48"/>
      <c r="C12" s="48"/>
      <c r="D12" s="48"/>
      <c r="E12" s="48"/>
      <c r="F12" s="90"/>
      <c r="G12" s="90"/>
      <c r="H12" s="90"/>
      <c r="I12" s="90"/>
      <c r="J12" s="90"/>
      <c r="K12" s="90"/>
      <c r="L12" s="48"/>
      <c r="M12" s="48"/>
      <c r="N12" s="48"/>
      <c r="O12" s="48"/>
      <c r="P12" s="48"/>
    </row>
    <row r="13" spans="1:16" ht="22.8" customHeight="1" x14ac:dyDescent="0.4">
      <c r="A13" s="48"/>
      <c r="B13" s="48"/>
      <c r="C13" s="48"/>
      <c r="D13" s="48"/>
      <c r="E13" s="48"/>
      <c r="F13" s="91"/>
      <c r="G13" s="91"/>
      <c r="H13" s="91"/>
      <c r="I13" s="91"/>
      <c r="J13" s="91"/>
      <c r="K13" s="91"/>
      <c r="L13" s="48"/>
      <c r="M13" s="48"/>
      <c r="N13" s="48"/>
      <c r="O13" s="62"/>
      <c r="P13" s="48"/>
    </row>
    <row r="14" spans="1:16" ht="54.6" customHeight="1" x14ac:dyDescent="0.4">
      <c r="A14" s="48"/>
      <c r="B14" s="48"/>
      <c r="C14" s="48"/>
      <c r="D14" s="48"/>
      <c r="E14" s="48"/>
      <c r="F14" s="92"/>
      <c r="G14" s="92"/>
      <c r="H14" s="92"/>
      <c r="I14" s="92"/>
      <c r="J14" s="92"/>
      <c r="K14" s="92"/>
      <c r="L14" s="48"/>
      <c r="M14" s="48"/>
      <c r="N14" s="48"/>
      <c r="O14" s="62"/>
      <c r="P14" s="48"/>
    </row>
    <row r="15" spans="1:16" ht="22.8" customHeight="1" x14ac:dyDescent="0.4">
      <c r="F15" s="93"/>
      <c r="G15" s="93"/>
      <c r="H15" s="93"/>
      <c r="I15" s="93"/>
      <c r="J15" s="93"/>
      <c r="K15" s="93"/>
    </row>
    <row r="16" spans="1:16" ht="11.85" customHeight="1" x14ac:dyDescent="0.4"/>
    <row r="18" ht="39" customHeight="1" x14ac:dyDescent="0.4"/>
  </sheetData>
  <mergeCells count="20">
    <mergeCell ref="F14:G14"/>
    <mergeCell ref="H14:I14"/>
    <mergeCell ref="J14:K14"/>
    <mergeCell ref="F15:G15"/>
    <mergeCell ref="H15:I15"/>
    <mergeCell ref="J15:K15"/>
    <mergeCell ref="C11:E11"/>
    <mergeCell ref="F12:G12"/>
    <mergeCell ref="H12:I12"/>
    <mergeCell ref="J12:K12"/>
    <mergeCell ref="F13:G13"/>
    <mergeCell ref="H13:I13"/>
    <mergeCell ref="J13:K13"/>
    <mergeCell ref="F9:G9"/>
    <mergeCell ref="H9:I9"/>
    <mergeCell ref="J9:K9"/>
    <mergeCell ref="C10:E10"/>
    <mergeCell ref="F10:G10"/>
    <mergeCell ref="H10:I10"/>
    <mergeCell ref="J10:K10"/>
  </mergeCells>
  <phoneticPr fontId="1" type="noConversion"/>
  <printOptions horizontalCentered="1" verticalCentered="1"/>
  <pageMargins left="0.43307086614173229" right="0.43307086614173229" top="0.47244094488188981" bottom="0.47244094488188981" header="0.31496062992125984" footer="0.31496062992125984"/>
  <pageSetup paperSize="9" scale="98" orientation="landscape" r:id="rId1"/>
  <headerFooter scaleWithDoc="0" alignWithMargins="0">
    <oddFooter xml:space="preserve">&amp;C
&amp;R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9604-64B9-4E5E-8607-72FBC8AE8180}">
  <sheetPr>
    <tabColor theme="3" tint="0.249977111117893"/>
  </sheetPr>
  <dimension ref="A2:E104"/>
  <sheetViews>
    <sheetView showGridLines="0" showWhiteSpace="0" zoomScale="85" zoomScaleNormal="85" zoomScaleSheetLayoutView="80" zoomScalePageLayoutView="70" workbookViewId="0">
      <selection activeCell="D14" sqref="D14"/>
    </sheetView>
  </sheetViews>
  <sheetFormatPr defaultColWidth="9" defaultRowHeight="17.399999999999999" x14ac:dyDescent="0.4"/>
  <cols>
    <col min="1" max="1" width="17.09765625" style="67" customWidth="1"/>
    <col min="2" max="2" width="34" style="67" customWidth="1"/>
    <col min="3" max="3" width="22.296875" style="68" customWidth="1"/>
    <col min="4" max="4" width="16.19921875" style="68" customWidth="1"/>
    <col min="5" max="5" width="24.8984375" style="68" customWidth="1"/>
    <col min="6" max="6" width="4.09765625" style="68" customWidth="1"/>
    <col min="7" max="16384" width="9" style="68"/>
  </cols>
  <sheetData>
    <row r="2" spans="1:5" ht="28.8" customHeight="1" x14ac:dyDescent="0.4"/>
    <row r="3" spans="1:5" ht="23.4" customHeight="1" x14ac:dyDescent="0.4">
      <c r="A3" s="96" t="s">
        <v>779</v>
      </c>
      <c r="B3" s="96"/>
      <c r="C3" s="96"/>
      <c r="D3" s="96"/>
      <c r="E3" s="96"/>
    </row>
    <row r="4" spans="1:5" ht="21" customHeight="1" x14ac:dyDescent="0.4">
      <c r="A4" s="69" t="s">
        <v>780</v>
      </c>
      <c r="B4" s="70" t="s">
        <v>781</v>
      </c>
      <c r="C4" s="71" t="s">
        <v>782</v>
      </c>
      <c r="D4" s="71" t="s">
        <v>783</v>
      </c>
      <c r="E4" s="72" t="s">
        <v>784</v>
      </c>
    </row>
    <row r="5" spans="1:5" s="76" customFormat="1" ht="21" customHeight="1" x14ac:dyDescent="0.4">
      <c r="A5" s="73" t="s">
        <v>785</v>
      </c>
      <c r="B5" s="74" t="s">
        <v>786</v>
      </c>
      <c r="C5" s="74" t="s">
        <v>787</v>
      </c>
      <c r="D5" s="74" t="s">
        <v>788</v>
      </c>
      <c r="E5" s="75">
        <v>46066</v>
      </c>
    </row>
    <row r="6" spans="1:5" ht="21" customHeight="1" x14ac:dyDescent="0.4">
      <c r="A6" s="73" t="s">
        <v>789</v>
      </c>
      <c r="B6" s="77"/>
      <c r="C6" s="74"/>
      <c r="D6" s="74"/>
      <c r="E6" s="75"/>
    </row>
    <row r="7" spans="1:5" ht="21" customHeight="1" x14ac:dyDescent="0.4">
      <c r="A7" s="73" t="s">
        <v>790</v>
      </c>
      <c r="B7" s="77"/>
      <c r="C7" s="74"/>
      <c r="D7" s="74"/>
      <c r="E7" s="75"/>
    </row>
    <row r="8" spans="1:5" ht="21" customHeight="1" x14ac:dyDescent="0.4">
      <c r="A8" s="78"/>
      <c r="B8" s="78"/>
      <c r="C8" s="78"/>
      <c r="D8" s="78"/>
      <c r="E8" s="78"/>
    </row>
    <row r="9" spans="1:5" ht="22.8" customHeight="1" x14ac:dyDescent="0.4">
      <c r="A9" s="96" t="s">
        <v>791</v>
      </c>
      <c r="B9" s="96"/>
      <c r="C9" s="96" t="s">
        <v>792</v>
      </c>
      <c r="D9" s="96"/>
      <c r="E9" s="96"/>
    </row>
    <row r="10" spans="1:5" ht="21" customHeight="1" x14ac:dyDescent="0.4">
      <c r="A10" s="69" t="s">
        <v>793</v>
      </c>
      <c r="B10" s="97" t="s">
        <v>794</v>
      </c>
      <c r="C10" s="97"/>
      <c r="D10" s="79" t="s">
        <v>795</v>
      </c>
      <c r="E10" s="72" t="s">
        <v>796</v>
      </c>
    </row>
    <row r="11" spans="1:5" ht="23.4" customHeight="1" x14ac:dyDescent="0.4">
      <c r="A11" s="80" t="s">
        <v>797</v>
      </c>
      <c r="B11" s="98" t="s">
        <v>798</v>
      </c>
      <c r="C11" s="98"/>
      <c r="D11" s="81">
        <v>46041</v>
      </c>
      <c r="E11" s="75" t="s">
        <v>788</v>
      </c>
    </row>
    <row r="12" spans="1:5" ht="23.4" customHeight="1" x14ac:dyDescent="0.4">
      <c r="A12" s="80" t="s">
        <v>800</v>
      </c>
      <c r="B12" s="98" t="s">
        <v>799</v>
      </c>
      <c r="C12" s="98"/>
      <c r="D12" s="81">
        <v>46066</v>
      </c>
      <c r="E12" s="75" t="s">
        <v>788</v>
      </c>
    </row>
    <row r="13" spans="1:5" ht="23.4" customHeight="1" x14ac:dyDescent="0.4">
      <c r="A13" s="80" t="s">
        <v>839</v>
      </c>
      <c r="B13" s="95" t="s">
        <v>840</v>
      </c>
      <c r="C13" s="98"/>
      <c r="D13" s="81">
        <v>46077</v>
      </c>
      <c r="E13" s="75" t="s">
        <v>788</v>
      </c>
    </row>
    <row r="14" spans="1:5" ht="23.4" customHeight="1" x14ac:dyDescent="0.4">
      <c r="A14" s="80"/>
      <c r="B14" s="95"/>
      <c r="C14" s="98"/>
      <c r="D14" s="81"/>
      <c r="E14" s="75"/>
    </row>
    <row r="15" spans="1:5" ht="23.4" customHeight="1" x14ac:dyDescent="0.4">
      <c r="A15" s="80"/>
      <c r="B15" s="94"/>
      <c r="C15" s="95"/>
      <c r="D15" s="81"/>
      <c r="E15" s="75"/>
    </row>
    <row r="16" spans="1:5" ht="23.4" customHeight="1" x14ac:dyDescent="0.4">
      <c r="A16" s="80"/>
      <c r="B16" s="94"/>
      <c r="C16" s="95"/>
      <c r="D16" s="81"/>
      <c r="E16" s="75"/>
    </row>
    <row r="17" spans="1:5" ht="23.4" customHeight="1" x14ac:dyDescent="0.4">
      <c r="A17" s="80"/>
      <c r="B17" s="94"/>
      <c r="C17" s="95"/>
      <c r="D17" s="81"/>
      <c r="E17" s="75"/>
    </row>
    <row r="18" spans="1:5" ht="23.4" customHeight="1" x14ac:dyDescent="0.4">
      <c r="A18" s="80"/>
      <c r="B18" s="94"/>
      <c r="C18" s="95"/>
      <c r="D18" s="81"/>
      <c r="E18" s="75"/>
    </row>
    <row r="19" spans="1:5" ht="23.4" customHeight="1" x14ac:dyDescent="0.4">
      <c r="A19" s="80"/>
      <c r="B19" s="94"/>
      <c r="C19" s="95"/>
      <c r="D19" s="81"/>
      <c r="E19" s="75"/>
    </row>
    <row r="20" spans="1:5" x14ac:dyDescent="0.4">
      <c r="A20" s="82"/>
      <c r="B20" s="82"/>
      <c r="C20" s="83"/>
      <c r="D20" s="83"/>
      <c r="E20" s="83"/>
    </row>
    <row r="54" ht="21" customHeight="1" x14ac:dyDescent="0.4"/>
    <row r="55" ht="21" customHeight="1" x14ac:dyDescent="0.4"/>
    <row r="56" ht="21" customHeight="1" x14ac:dyDescent="0.4"/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  <row r="97" ht="21" customHeight="1" x14ac:dyDescent="0.4"/>
    <row r="98" ht="21" customHeight="1" x14ac:dyDescent="0.4"/>
    <row r="99" ht="21" customHeight="1" x14ac:dyDescent="0.4"/>
    <row r="100" ht="21" customHeight="1" x14ac:dyDescent="0.4"/>
    <row r="101" ht="21" customHeight="1" x14ac:dyDescent="0.4"/>
    <row r="102" ht="21" customHeight="1" x14ac:dyDescent="0.4"/>
    <row r="103" ht="21" customHeight="1" x14ac:dyDescent="0.4"/>
    <row r="104" ht="21" customHeight="1" x14ac:dyDescent="0.4"/>
  </sheetData>
  <mergeCells count="12">
    <mergeCell ref="B19:C19"/>
    <mergeCell ref="A3:E3"/>
    <mergeCell ref="A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honeticPr fontId="1" type="noConversion"/>
  <printOptions horizontalCentered="1"/>
  <pageMargins left="0.47" right="0.39370078740157483" top="0.74803149606299213" bottom="0.74803149606299213" header="0.31496062992125984" footer="0.31496062992125984"/>
  <pageSetup paperSize="9" orientation="landscape" r:id="rId1"/>
  <headerFooter alignWithMargins="0">
    <oddHeader>&amp;R&amp;G</oddHeader>
    <oddFooter>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F8FB-4A74-4057-BCFA-D509D770F42E}">
  <sheetPr>
    <tabColor theme="3" tint="0.249977111117893"/>
  </sheetPr>
  <dimension ref="B2:D33"/>
  <sheetViews>
    <sheetView showGridLines="0" workbookViewId="0">
      <pane xSplit="4" ySplit="4" topLeftCell="E5" activePane="bottomRight" state="frozen"/>
      <selection activeCell="A22" sqref="A22:XFD22"/>
      <selection pane="topRight" activeCell="A22" sqref="A22:XFD22"/>
      <selection pane="bottomLeft" activeCell="A22" sqref="A22:XFD22"/>
      <selection pane="bottomRight" activeCell="C29" sqref="C29"/>
    </sheetView>
  </sheetViews>
  <sheetFormatPr defaultColWidth="40.09765625" defaultRowHeight="17.399999999999999" x14ac:dyDescent="0.4"/>
  <cols>
    <col min="1" max="1" width="3.69921875" customWidth="1"/>
    <col min="2" max="2" width="24.69921875" customWidth="1"/>
    <col min="3" max="3" width="39" customWidth="1"/>
    <col min="4" max="4" width="39.59765625" customWidth="1"/>
    <col min="5" max="5" width="24.5" customWidth="1"/>
  </cols>
  <sheetData>
    <row r="2" spans="2:4" s="101" customFormat="1" x14ac:dyDescent="0.4">
      <c r="B2" s="101" t="s">
        <v>841</v>
      </c>
    </row>
    <row r="4" spans="2:4" x14ac:dyDescent="0.4">
      <c r="B4" s="44" t="s">
        <v>35</v>
      </c>
      <c r="C4" s="44" t="s">
        <v>43</v>
      </c>
      <c r="D4" s="44" t="s">
        <v>80</v>
      </c>
    </row>
    <row r="5" spans="2:4" s="38" customFormat="1" ht="15.6" x14ac:dyDescent="0.4">
      <c r="B5" s="40" t="s">
        <v>630</v>
      </c>
      <c r="C5" s="40" t="s">
        <v>36</v>
      </c>
      <c r="D5" s="40" t="s">
        <v>37</v>
      </c>
    </row>
    <row r="6" spans="2:4" s="38" customFormat="1" ht="15.6" x14ac:dyDescent="0.4">
      <c r="B6" s="40" t="s">
        <v>630</v>
      </c>
      <c r="C6" s="40" t="s">
        <v>40</v>
      </c>
      <c r="D6" s="40" t="s">
        <v>41</v>
      </c>
    </row>
    <row r="7" spans="2:4" s="38" customFormat="1" ht="15.6" x14ac:dyDescent="0.4">
      <c r="B7" s="40" t="s">
        <v>630</v>
      </c>
      <c r="C7" s="40" t="s">
        <v>42</v>
      </c>
      <c r="D7" s="40" t="s">
        <v>81</v>
      </c>
    </row>
    <row r="8" spans="2:4" s="38" customFormat="1" ht="15.6" x14ac:dyDescent="0.4">
      <c r="B8" s="40" t="s">
        <v>630</v>
      </c>
      <c r="C8" s="40" t="s">
        <v>699</v>
      </c>
      <c r="D8" s="40" t="s">
        <v>82</v>
      </c>
    </row>
    <row r="9" spans="2:4" s="38" customFormat="1" ht="15.6" x14ac:dyDescent="0.4">
      <c r="B9" s="40" t="s">
        <v>630</v>
      </c>
      <c r="C9" s="40" t="s">
        <v>38</v>
      </c>
      <c r="D9" s="40" t="s">
        <v>83</v>
      </c>
    </row>
    <row r="10" spans="2:4" s="38" customFormat="1" ht="15.6" x14ac:dyDescent="0.4">
      <c r="B10" s="40" t="s">
        <v>630</v>
      </c>
      <c r="C10" s="40" t="s">
        <v>39</v>
      </c>
      <c r="D10" s="40" t="s">
        <v>84</v>
      </c>
    </row>
    <row r="11" spans="2:4" s="38" customFormat="1" ht="15.6" x14ac:dyDescent="0.4">
      <c r="B11" s="40" t="s">
        <v>631</v>
      </c>
      <c r="C11" s="40" t="s">
        <v>702</v>
      </c>
      <c r="D11" s="40" t="s">
        <v>44</v>
      </c>
    </row>
    <row r="12" spans="2:4" s="38" customFormat="1" ht="15.6" x14ac:dyDescent="0.4">
      <c r="B12" s="40" t="s">
        <v>631</v>
      </c>
      <c r="C12" s="40" t="s">
        <v>805</v>
      </c>
      <c r="D12" s="40" t="s">
        <v>45</v>
      </c>
    </row>
    <row r="13" spans="2:4" s="38" customFormat="1" ht="15.6" x14ac:dyDescent="0.4">
      <c r="B13" s="40" t="s">
        <v>631</v>
      </c>
      <c r="C13" s="40" t="s">
        <v>49</v>
      </c>
      <c r="D13" s="40" t="s">
        <v>46</v>
      </c>
    </row>
    <row r="14" spans="2:4" s="38" customFormat="1" ht="15.6" x14ac:dyDescent="0.4">
      <c r="B14" s="40" t="s">
        <v>631</v>
      </c>
      <c r="C14" s="40" t="s">
        <v>47</v>
      </c>
      <c r="D14" s="40" t="s">
        <v>48</v>
      </c>
    </row>
    <row r="15" spans="2:4" s="38" customFormat="1" ht="15.6" x14ac:dyDescent="0.4">
      <c r="B15" s="40" t="s">
        <v>632</v>
      </c>
      <c r="C15" s="40" t="s">
        <v>706</v>
      </c>
      <c r="D15" s="40" t="s">
        <v>50</v>
      </c>
    </row>
    <row r="16" spans="2:4" s="38" customFormat="1" ht="15.6" x14ac:dyDescent="0.4">
      <c r="B16" s="40" t="s">
        <v>632</v>
      </c>
      <c r="C16" s="40" t="s">
        <v>694</v>
      </c>
      <c r="D16" s="40" t="s">
        <v>51</v>
      </c>
    </row>
    <row r="17" spans="2:4" s="38" customFormat="1" ht="15.6" x14ac:dyDescent="0.4">
      <c r="B17" s="40" t="s">
        <v>632</v>
      </c>
      <c r="C17" s="40" t="s">
        <v>52</v>
      </c>
      <c r="D17" s="40" t="s">
        <v>53</v>
      </c>
    </row>
    <row r="18" spans="2:4" s="38" customFormat="1" ht="15.6" x14ac:dyDescent="0.4">
      <c r="B18" s="40" t="s">
        <v>632</v>
      </c>
      <c r="C18" s="40" t="s">
        <v>708</v>
      </c>
      <c r="D18" s="40" t="s">
        <v>54</v>
      </c>
    </row>
    <row r="19" spans="2:4" s="38" customFormat="1" ht="15.6" x14ac:dyDescent="0.4">
      <c r="B19" s="40" t="s">
        <v>632</v>
      </c>
      <c r="C19" s="40" t="s">
        <v>56</v>
      </c>
      <c r="D19" s="40" t="s">
        <v>55</v>
      </c>
    </row>
    <row r="20" spans="2:4" s="38" customFormat="1" ht="15.6" x14ac:dyDescent="0.4">
      <c r="B20" s="40" t="s">
        <v>633</v>
      </c>
      <c r="C20" s="40" t="s">
        <v>803</v>
      </c>
      <c r="D20" s="40" t="s">
        <v>57</v>
      </c>
    </row>
    <row r="21" spans="2:4" s="38" customFormat="1" ht="15.6" x14ac:dyDescent="0.4">
      <c r="B21" s="40" t="s">
        <v>633</v>
      </c>
      <c r="C21" s="40" t="s">
        <v>804</v>
      </c>
      <c r="D21" s="40" t="s">
        <v>58</v>
      </c>
    </row>
    <row r="22" spans="2:4" s="38" customFormat="1" ht="15.6" x14ac:dyDescent="0.4">
      <c r="B22" s="40" t="s">
        <v>633</v>
      </c>
      <c r="C22" s="40" t="s">
        <v>59</v>
      </c>
      <c r="D22" s="40" t="s">
        <v>60</v>
      </c>
    </row>
    <row r="23" spans="2:4" s="38" customFormat="1" ht="15.6" x14ac:dyDescent="0.4">
      <c r="B23" s="40" t="s">
        <v>633</v>
      </c>
      <c r="C23" s="40" t="s">
        <v>61</v>
      </c>
      <c r="D23" s="40" t="s">
        <v>62</v>
      </c>
    </row>
    <row r="24" spans="2:4" s="38" customFormat="1" ht="15.6" x14ac:dyDescent="0.4">
      <c r="B24" s="40" t="s">
        <v>634</v>
      </c>
      <c r="C24" s="40" t="s">
        <v>688</v>
      </c>
      <c r="D24" s="40" t="s">
        <v>689</v>
      </c>
    </row>
    <row r="25" spans="2:4" s="38" customFormat="1" ht="15.6" x14ac:dyDescent="0.4">
      <c r="B25" s="40" t="s">
        <v>634</v>
      </c>
      <c r="C25" s="40" t="s">
        <v>63</v>
      </c>
      <c r="D25" s="40" t="s">
        <v>64</v>
      </c>
    </row>
    <row r="26" spans="2:4" s="38" customFormat="1" ht="15.6" x14ac:dyDescent="0.4">
      <c r="B26" s="40" t="s">
        <v>634</v>
      </c>
      <c r="C26" s="40" t="s">
        <v>67</v>
      </c>
      <c r="D26" s="40" t="s">
        <v>85</v>
      </c>
    </row>
    <row r="27" spans="2:4" s="38" customFormat="1" ht="15.6" x14ac:dyDescent="0.4">
      <c r="B27" s="40" t="s">
        <v>634</v>
      </c>
      <c r="C27" s="40" t="s">
        <v>712</v>
      </c>
      <c r="D27" s="40" t="s">
        <v>65</v>
      </c>
    </row>
    <row r="28" spans="2:4" s="38" customFormat="1" ht="15.6" x14ac:dyDescent="0.4">
      <c r="B28" s="40" t="s">
        <v>634</v>
      </c>
      <c r="C28" s="40" t="s">
        <v>68</v>
      </c>
      <c r="D28" s="40" t="s">
        <v>66</v>
      </c>
    </row>
    <row r="29" spans="2:4" s="38" customFormat="1" ht="15.6" x14ac:dyDescent="0.4">
      <c r="B29" s="40" t="s">
        <v>635</v>
      </c>
      <c r="C29" s="40" t="s">
        <v>69</v>
      </c>
      <c r="D29" s="40" t="s">
        <v>70</v>
      </c>
    </row>
    <row r="30" spans="2:4" s="38" customFormat="1" ht="15.6" x14ac:dyDescent="0.4">
      <c r="B30" s="40" t="s">
        <v>635</v>
      </c>
      <c r="C30" s="40" t="s">
        <v>71</v>
      </c>
      <c r="D30" s="40" t="s">
        <v>72</v>
      </c>
    </row>
    <row r="31" spans="2:4" s="38" customFormat="1" ht="15.6" x14ac:dyDescent="0.4">
      <c r="B31" s="40" t="s">
        <v>635</v>
      </c>
      <c r="C31" s="40" t="s">
        <v>78</v>
      </c>
      <c r="D31" s="40" t="s">
        <v>73</v>
      </c>
    </row>
    <row r="32" spans="2:4" s="38" customFormat="1" ht="15.6" x14ac:dyDescent="0.4">
      <c r="B32" s="40" t="s">
        <v>635</v>
      </c>
      <c r="C32" s="40" t="s">
        <v>74</v>
      </c>
      <c r="D32" s="40" t="s">
        <v>75</v>
      </c>
    </row>
    <row r="33" spans="2:4" s="38" customFormat="1" ht="15.6" x14ac:dyDescent="0.4">
      <c r="B33" s="40" t="s">
        <v>635</v>
      </c>
      <c r="C33" s="40" t="s">
        <v>76</v>
      </c>
      <c r="D33" s="40" t="s">
        <v>77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54D8-98F2-4710-94A5-88B99107D146}">
  <sheetPr>
    <tabColor theme="3" tint="0.749992370372631"/>
  </sheetPr>
  <dimension ref="B1:E31"/>
  <sheetViews>
    <sheetView workbookViewId="0">
      <pane xSplit="3" ySplit="2" topLeftCell="D3" activePane="bottomRight" state="frozen"/>
      <selection activeCell="A20" sqref="A20:XFD20"/>
      <selection pane="topRight" activeCell="A20" sqref="A20:XFD20"/>
      <selection pane="bottomLeft" activeCell="A20" sqref="A20:XFD20"/>
      <selection pane="bottomRight" activeCell="C15" sqref="C15"/>
    </sheetView>
  </sheetViews>
  <sheetFormatPr defaultColWidth="8.69921875" defaultRowHeight="15.6" x14ac:dyDescent="0.4"/>
  <cols>
    <col min="1" max="1" width="1.59765625" style="37" customWidth="1"/>
    <col min="2" max="2" width="11.09765625" style="37" bestFit="1" customWidth="1"/>
    <col min="3" max="3" width="51.8984375" style="37" customWidth="1"/>
    <col min="4" max="5" width="15.69921875" style="37" customWidth="1"/>
    <col min="6" max="16384" width="8.69921875" style="37"/>
  </cols>
  <sheetData>
    <row r="1" spans="2:5" s="17" customFormat="1" ht="9" customHeight="1" x14ac:dyDescent="0.4"/>
    <row r="2" spans="2:5" s="16" customFormat="1" ht="46.8" x14ac:dyDescent="0.4">
      <c r="B2" s="45" t="s">
        <v>638</v>
      </c>
      <c r="C2" s="45" t="s">
        <v>43</v>
      </c>
      <c r="D2" s="84" t="s">
        <v>801</v>
      </c>
      <c r="E2" s="84" t="s">
        <v>802</v>
      </c>
    </row>
    <row r="3" spans="2:5" x14ac:dyDescent="0.4">
      <c r="B3" s="39" t="s">
        <v>626</v>
      </c>
      <c r="C3" s="39" t="s">
        <v>36</v>
      </c>
      <c r="D3" s="47" t="s">
        <v>647</v>
      </c>
      <c r="E3" s="47" t="s">
        <v>648</v>
      </c>
    </row>
    <row r="4" spans="2:5" x14ac:dyDescent="0.4">
      <c r="B4" s="39" t="s">
        <v>626</v>
      </c>
      <c r="C4" s="40" t="s">
        <v>40</v>
      </c>
      <c r="D4" s="47" t="s">
        <v>171</v>
      </c>
      <c r="E4" s="47">
        <v>8</v>
      </c>
    </row>
    <row r="5" spans="2:5" x14ac:dyDescent="0.4">
      <c r="B5" s="39" t="s">
        <v>626</v>
      </c>
      <c r="C5" s="40" t="s">
        <v>38</v>
      </c>
      <c r="D5" s="47" t="s">
        <v>649</v>
      </c>
      <c r="E5" s="47">
        <v>18</v>
      </c>
    </row>
    <row r="6" spans="2:5" x14ac:dyDescent="0.4">
      <c r="B6" s="39" t="s">
        <v>626</v>
      </c>
      <c r="C6" s="40" t="s">
        <v>39</v>
      </c>
      <c r="D6" s="47" t="s">
        <v>318</v>
      </c>
      <c r="E6" s="47" t="s">
        <v>650</v>
      </c>
    </row>
    <row r="7" spans="2:5" x14ac:dyDescent="0.4">
      <c r="B7" s="39" t="s">
        <v>626</v>
      </c>
      <c r="C7" s="40" t="s">
        <v>42</v>
      </c>
      <c r="D7" s="47" t="s">
        <v>651</v>
      </c>
      <c r="E7" s="47" t="s">
        <v>652</v>
      </c>
    </row>
    <row r="8" spans="2:5" x14ac:dyDescent="0.4">
      <c r="B8" s="39" t="s">
        <v>626</v>
      </c>
      <c r="C8" s="40" t="s">
        <v>699</v>
      </c>
      <c r="D8" s="47" t="s">
        <v>271</v>
      </c>
      <c r="E8" s="47">
        <v>13</v>
      </c>
    </row>
    <row r="9" spans="2:5" x14ac:dyDescent="0.4">
      <c r="B9" s="39" t="s">
        <v>627</v>
      </c>
      <c r="C9" s="40" t="s">
        <v>702</v>
      </c>
      <c r="D9" s="47" t="s">
        <v>640</v>
      </c>
      <c r="E9" s="47">
        <v>17</v>
      </c>
    </row>
    <row r="10" spans="2:5" x14ac:dyDescent="0.4">
      <c r="B10" s="39" t="s">
        <v>627</v>
      </c>
      <c r="C10" s="40" t="s">
        <v>805</v>
      </c>
      <c r="D10" s="47" t="s">
        <v>640</v>
      </c>
      <c r="E10" s="47">
        <v>17</v>
      </c>
    </row>
    <row r="11" spans="2:5" x14ac:dyDescent="0.4">
      <c r="B11" s="39" t="s">
        <v>627</v>
      </c>
      <c r="C11" s="39" t="s">
        <v>49</v>
      </c>
      <c r="D11" s="47" t="s">
        <v>654</v>
      </c>
      <c r="E11" s="47">
        <v>17</v>
      </c>
    </row>
    <row r="12" spans="2:5" x14ac:dyDescent="0.4">
      <c r="B12" s="39" t="s">
        <v>627</v>
      </c>
      <c r="C12" s="40" t="s">
        <v>47</v>
      </c>
      <c r="D12" s="47" t="s">
        <v>655</v>
      </c>
      <c r="E12" s="47" t="s">
        <v>656</v>
      </c>
    </row>
    <row r="13" spans="2:5" x14ac:dyDescent="0.4">
      <c r="B13" s="39" t="s">
        <v>628</v>
      </c>
      <c r="C13" s="40" t="s">
        <v>47</v>
      </c>
      <c r="D13" s="47" t="s">
        <v>657</v>
      </c>
      <c r="E13" s="47" t="s">
        <v>658</v>
      </c>
    </row>
    <row r="14" spans="2:5" x14ac:dyDescent="0.4">
      <c r="B14" s="39" t="s">
        <v>628</v>
      </c>
      <c r="C14" s="40" t="s">
        <v>694</v>
      </c>
      <c r="D14" s="47" t="s">
        <v>391</v>
      </c>
      <c r="E14" s="47">
        <v>14</v>
      </c>
    </row>
    <row r="15" spans="2:5" x14ac:dyDescent="0.4">
      <c r="B15" s="39" t="s">
        <v>628</v>
      </c>
      <c r="C15" s="40" t="s">
        <v>52</v>
      </c>
      <c r="D15" s="47" t="s">
        <v>391</v>
      </c>
      <c r="E15" s="47">
        <v>14</v>
      </c>
    </row>
    <row r="16" spans="2:5" x14ac:dyDescent="0.4">
      <c r="B16" s="39" t="s">
        <v>628</v>
      </c>
      <c r="C16" s="40" t="s">
        <v>708</v>
      </c>
      <c r="D16" s="47" t="s">
        <v>467</v>
      </c>
      <c r="E16" s="47">
        <v>14</v>
      </c>
    </row>
    <row r="17" spans="2:5" x14ac:dyDescent="0.4">
      <c r="B17" s="39" t="s">
        <v>628</v>
      </c>
      <c r="C17" s="40" t="s">
        <v>56</v>
      </c>
      <c r="D17" s="47" t="s">
        <v>662</v>
      </c>
      <c r="E17" s="47">
        <v>27</v>
      </c>
    </row>
    <row r="18" spans="2:5" x14ac:dyDescent="0.4">
      <c r="B18" s="39" t="s">
        <v>629</v>
      </c>
      <c r="C18" s="40" t="s">
        <v>803</v>
      </c>
      <c r="D18" s="47" t="s">
        <v>365</v>
      </c>
      <c r="E18" s="47">
        <v>27</v>
      </c>
    </row>
    <row r="19" spans="2:5" x14ac:dyDescent="0.4">
      <c r="B19" s="39" t="s">
        <v>629</v>
      </c>
      <c r="C19" s="40" t="s">
        <v>804</v>
      </c>
      <c r="D19" s="47" t="s">
        <v>365</v>
      </c>
      <c r="E19" s="47">
        <v>27</v>
      </c>
    </row>
    <row r="20" spans="2:5" x14ac:dyDescent="0.4">
      <c r="B20" s="39" t="s">
        <v>629</v>
      </c>
      <c r="C20" s="39" t="s">
        <v>59</v>
      </c>
      <c r="D20" s="47" t="s">
        <v>365</v>
      </c>
      <c r="E20" s="47">
        <v>27</v>
      </c>
    </row>
    <row r="21" spans="2:5" x14ac:dyDescent="0.4">
      <c r="B21" s="39" t="s">
        <v>629</v>
      </c>
      <c r="C21" s="39" t="s">
        <v>59</v>
      </c>
      <c r="D21" s="47" t="s">
        <v>668</v>
      </c>
      <c r="E21" s="47">
        <v>27</v>
      </c>
    </row>
    <row r="22" spans="2:5" x14ac:dyDescent="0.4">
      <c r="B22" s="39" t="s">
        <v>669</v>
      </c>
      <c r="C22" s="40" t="s">
        <v>688</v>
      </c>
      <c r="D22" s="47" t="s">
        <v>671</v>
      </c>
      <c r="E22" s="47">
        <v>29</v>
      </c>
    </row>
    <row r="23" spans="2:5" x14ac:dyDescent="0.4">
      <c r="B23" s="39" t="s">
        <v>669</v>
      </c>
      <c r="C23" s="40" t="s">
        <v>690</v>
      </c>
      <c r="D23" s="47" t="s">
        <v>674</v>
      </c>
      <c r="E23" s="47">
        <v>29</v>
      </c>
    </row>
    <row r="24" spans="2:5" x14ac:dyDescent="0.4">
      <c r="B24" s="39" t="s">
        <v>669</v>
      </c>
      <c r="C24" s="40" t="s">
        <v>691</v>
      </c>
      <c r="D24" s="47" t="s">
        <v>231</v>
      </c>
      <c r="E24" s="47">
        <v>29</v>
      </c>
    </row>
    <row r="25" spans="2:5" x14ac:dyDescent="0.4">
      <c r="B25" s="39" t="s">
        <v>669</v>
      </c>
      <c r="C25" s="40" t="s">
        <v>712</v>
      </c>
      <c r="D25" s="47" t="s">
        <v>354</v>
      </c>
      <c r="E25" s="47">
        <v>29</v>
      </c>
    </row>
    <row r="26" spans="2:5" x14ac:dyDescent="0.4">
      <c r="B26" s="39" t="s">
        <v>669</v>
      </c>
      <c r="C26" s="39" t="s">
        <v>693</v>
      </c>
      <c r="D26" s="47" t="s">
        <v>678</v>
      </c>
      <c r="E26" s="47" t="s">
        <v>679</v>
      </c>
    </row>
    <row r="27" spans="2:5" x14ac:dyDescent="0.4">
      <c r="B27" s="39" t="s">
        <v>134</v>
      </c>
      <c r="C27" s="39" t="s">
        <v>69</v>
      </c>
      <c r="D27" s="47" t="s">
        <v>680</v>
      </c>
      <c r="E27" s="47" t="s">
        <v>681</v>
      </c>
    </row>
    <row r="28" spans="2:5" x14ac:dyDescent="0.4">
      <c r="B28" s="39" t="s">
        <v>586</v>
      </c>
      <c r="C28" s="39" t="s">
        <v>71</v>
      </c>
      <c r="D28" s="47" t="s">
        <v>641</v>
      </c>
      <c r="E28" s="47" t="s">
        <v>642</v>
      </c>
    </row>
    <row r="29" spans="2:5" x14ac:dyDescent="0.4">
      <c r="B29" s="39" t="s">
        <v>134</v>
      </c>
      <c r="C29" s="40" t="s">
        <v>78</v>
      </c>
      <c r="D29" s="47" t="s">
        <v>683</v>
      </c>
      <c r="E29" s="47" t="s">
        <v>684</v>
      </c>
    </row>
    <row r="30" spans="2:5" x14ac:dyDescent="0.4">
      <c r="B30" s="39" t="s">
        <v>134</v>
      </c>
      <c r="C30" s="39" t="s">
        <v>74</v>
      </c>
      <c r="D30" s="47" t="s">
        <v>686</v>
      </c>
      <c r="E30" s="47" t="s">
        <v>687</v>
      </c>
    </row>
    <row r="31" spans="2:5" x14ac:dyDescent="0.4">
      <c r="B31" s="39" t="s">
        <v>134</v>
      </c>
      <c r="C31" s="40" t="s">
        <v>76</v>
      </c>
      <c r="D31" s="47" t="s">
        <v>639</v>
      </c>
      <c r="E31" s="47">
        <v>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6C28-AD29-4C3C-9395-3DA45D416744}">
  <sheetPr>
    <tabColor theme="3" tint="0.249977111117893"/>
    <outlinePr summaryRight="0"/>
  </sheetPr>
  <dimension ref="B1:H35"/>
  <sheetViews>
    <sheetView showGridLines="0" zoomScaleNormal="100" workbookViewId="0">
      <pane xSplit="7" ySplit="6" topLeftCell="H7" activePane="bottomRight" state="frozen"/>
      <selection activeCell="A22" sqref="A22:XFD22"/>
      <selection pane="topRight" activeCell="A22" sqref="A22:XFD22"/>
      <selection pane="bottomLeft" activeCell="A22" sqref="A22:XFD22"/>
      <selection pane="bottomRight" activeCell="C8" sqref="C8"/>
    </sheetView>
  </sheetViews>
  <sheetFormatPr defaultColWidth="8.69921875" defaultRowHeight="15.6" outlineLevelCol="1" x14ac:dyDescent="0.4"/>
  <cols>
    <col min="1" max="1" width="2.3984375" style="21" customWidth="1"/>
    <col min="2" max="2" width="8.69921875" style="21" customWidth="1"/>
    <col min="3" max="3" width="31.19921875" style="21" customWidth="1"/>
    <col min="4" max="4" width="15.69921875" style="42" customWidth="1"/>
    <col min="5" max="7" width="11.8984375" style="42" customWidth="1" outlineLevel="1"/>
    <col min="8" max="8" width="86.69921875" style="21" customWidth="1"/>
    <col min="9" max="16384" width="8.69921875" style="21"/>
  </cols>
  <sheetData>
    <row r="1" spans="2:8" customFormat="1" ht="17.399999999999999" x14ac:dyDescent="0.4"/>
    <row r="2" spans="2:8" s="101" customFormat="1" ht="17.399999999999999" x14ac:dyDescent="0.4">
      <c r="B2" s="101" t="s">
        <v>842</v>
      </c>
    </row>
    <row r="4" spans="2:8" s="7" customFormat="1" ht="17.399999999999999" x14ac:dyDescent="0.4">
      <c r="B4" s="99" t="s">
        <v>821</v>
      </c>
      <c r="C4" s="100"/>
      <c r="D4" s="100"/>
      <c r="E4" s="100"/>
      <c r="F4" s="100"/>
      <c r="G4" s="100"/>
      <c r="H4" s="100"/>
    </row>
    <row r="5" spans="2:8" customFormat="1" ht="7.5" customHeight="1" x14ac:dyDescent="0.4"/>
    <row r="6" spans="2:8" s="16" customFormat="1" ht="17.399999999999999" x14ac:dyDescent="0.4">
      <c r="B6" s="84" t="s">
        <v>638</v>
      </c>
      <c r="C6" s="84" t="s">
        <v>43</v>
      </c>
      <c r="D6" s="84" t="s">
        <v>643</v>
      </c>
      <c r="E6" s="84" t="s">
        <v>644</v>
      </c>
      <c r="F6" s="84" t="s">
        <v>645</v>
      </c>
      <c r="G6" s="84" t="s">
        <v>646</v>
      </c>
      <c r="H6" s="84" t="s">
        <v>806</v>
      </c>
    </row>
    <row r="7" spans="2:8" ht="31.2" x14ac:dyDescent="0.4">
      <c r="B7" s="6" t="s">
        <v>626</v>
      </c>
      <c r="C7" s="6" t="s">
        <v>36</v>
      </c>
      <c r="D7" s="43" t="s">
        <v>86</v>
      </c>
      <c r="E7" s="43" t="s">
        <v>86</v>
      </c>
      <c r="F7" s="43" t="s">
        <v>87</v>
      </c>
      <c r="G7" s="43" t="s">
        <v>88</v>
      </c>
      <c r="H7" s="6" t="s">
        <v>809</v>
      </c>
    </row>
    <row r="8" spans="2:8" ht="46.8" x14ac:dyDescent="0.4">
      <c r="B8" s="6" t="s">
        <v>626</v>
      </c>
      <c r="C8" s="6" t="s">
        <v>40</v>
      </c>
      <c r="D8" s="43" t="s">
        <v>95</v>
      </c>
      <c r="E8" s="43" t="s">
        <v>95</v>
      </c>
      <c r="F8" s="43" t="s">
        <v>96</v>
      </c>
      <c r="G8" s="43" t="s">
        <v>97</v>
      </c>
      <c r="H8" s="6" t="s">
        <v>810</v>
      </c>
    </row>
    <row r="9" spans="2:8" ht="46.8" x14ac:dyDescent="0.4">
      <c r="B9" s="6" t="s">
        <v>626</v>
      </c>
      <c r="C9" s="6" t="s">
        <v>38</v>
      </c>
      <c r="D9" s="43" t="s">
        <v>89</v>
      </c>
      <c r="E9" s="43" t="s">
        <v>89</v>
      </c>
      <c r="F9" s="43" t="s">
        <v>90</v>
      </c>
      <c r="G9" s="43" t="s">
        <v>91</v>
      </c>
      <c r="H9" s="6" t="s">
        <v>811</v>
      </c>
    </row>
    <row r="10" spans="2:8" ht="31.2" x14ac:dyDescent="0.4">
      <c r="B10" s="6" t="s">
        <v>626</v>
      </c>
      <c r="C10" s="6" t="s">
        <v>39</v>
      </c>
      <c r="D10" s="43" t="s">
        <v>92</v>
      </c>
      <c r="E10" s="43" t="s">
        <v>92</v>
      </c>
      <c r="F10" s="43" t="s">
        <v>93</v>
      </c>
      <c r="G10" s="43" t="s">
        <v>94</v>
      </c>
      <c r="H10" s="6" t="s">
        <v>812</v>
      </c>
    </row>
    <row r="11" spans="2:8" ht="31.2" x14ac:dyDescent="0.4">
      <c r="B11" s="6" t="s">
        <v>626</v>
      </c>
      <c r="C11" s="6" t="s">
        <v>42</v>
      </c>
      <c r="D11" s="43" t="s">
        <v>768</v>
      </c>
      <c r="E11" s="43" t="s">
        <v>98</v>
      </c>
      <c r="F11" s="43" t="s">
        <v>99</v>
      </c>
      <c r="G11" s="43" t="s">
        <v>100</v>
      </c>
      <c r="H11" s="6" t="s">
        <v>813</v>
      </c>
    </row>
    <row r="12" spans="2:8" x14ac:dyDescent="0.4">
      <c r="B12" s="6" t="s">
        <v>626</v>
      </c>
      <c r="C12" s="6" t="s">
        <v>699</v>
      </c>
      <c r="D12" s="43" t="s">
        <v>101</v>
      </c>
      <c r="E12" s="43" t="s">
        <v>101</v>
      </c>
      <c r="F12" s="43" t="s">
        <v>102</v>
      </c>
      <c r="G12" s="43" t="s">
        <v>103</v>
      </c>
      <c r="H12" s="6" t="s">
        <v>814</v>
      </c>
    </row>
    <row r="13" spans="2:8" ht="46.8" x14ac:dyDescent="0.4">
      <c r="B13" s="6" t="s">
        <v>627</v>
      </c>
      <c r="C13" s="6" t="s">
        <v>702</v>
      </c>
      <c r="D13" s="43" t="s">
        <v>104</v>
      </c>
      <c r="E13" s="43" t="s">
        <v>104</v>
      </c>
      <c r="F13" s="43" t="s">
        <v>105</v>
      </c>
      <c r="G13" s="43" t="s">
        <v>106</v>
      </c>
      <c r="H13" s="6" t="s">
        <v>815</v>
      </c>
    </row>
    <row r="14" spans="2:8" ht="31.2" x14ac:dyDescent="0.4">
      <c r="B14" s="6" t="s">
        <v>627</v>
      </c>
      <c r="C14" s="6" t="s">
        <v>805</v>
      </c>
      <c r="D14" s="43" t="s">
        <v>107</v>
      </c>
      <c r="E14" s="43" t="s">
        <v>653</v>
      </c>
      <c r="F14" s="43" t="s">
        <v>108</v>
      </c>
      <c r="G14" s="43" t="s">
        <v>109</v>
      </c>
      <c r="H14" s="6" t="s">
        <v>816</v>
      </c>
    </row>
    <row r="15" spans="2:8" ht="46.8" x14ac:dyDescent="0.4">
      <c r="B15" s="6" t="s">
        <v>627</v>
      </c>
      <c r="C15" s="6" t="s">
        <v>49</v>
      </c>
      <c r="D15" s="43" t="s">
        <v>769</v>
      </c>
      <c r="E15" s="43" t="s">
        <v>86</v>
      </c>
      <c r="F15" s="43" t="s">
        <v>87</v>
      </c>
      <c r="G15" s="43" t="s">
        <v>88</v>
      </c>
      <c r="H15" s="6" t="s">
        <v>777</v>
      </c>
    </row>
    <row r="16" spans="2:8" x14ac:dyDescent="0.4">
      <c r="B16" s="6" t="s">
        <v>627</v>
      </c>
      <c r="C16" s="6" t="s">
        <v>47</v>
      </c>
      <c r="D16" s="43" t="s">
        <v>101</v>
      </c>
      <c r="E16" s="43" t="s">
        <v>101</v>
      </c>
      <c r="F16" s="43" t="s">
        <v>102</v>
      </c>
      <c r="G16" s="43" t="s">
        <v>103</v>
      </c>
      <c r="H16" s="6" t="s">
        <v>817</v>
      </c>
    </row>
    <row r="17" spans="2:8" ht="31.2" x14ac:dyDescent="0.4">
      <c r="B17" s="6" t="s">
        <v>628</v>
      </c>
      <c r="C17" s="6" t="s">
        <v>706</v>
      </c>
      <c r="D17" s="43" t="s">
        <v>110</v>
      </c>
      <c r="E17" s="43" t="s">
        <v>110</v>
      </c>
      <c r="F17" s="43" t="s">
        <v>111</v>
      </c>
      <c r="G17" s="43" t="s">
        <v>112</v>
      </c>
      <c r="H17" s="6" t="s">
        <v>818</v>
      </c>
    </row>
    <row r="18" spans="2:8" ht="31.2" x14ac:dyDescent="0.4">
      <c r="B18" s="6" t="s">
        <v>628</v>
      </c>
      <c r="C18" s="6" t="s">
        <v>694</v>
      </c>
      <c r="D18" s="43" t="s">
        <v>659</v>
      </c>
      <c r="E18" s="43" t="s">
        <v>659</v>
      </c>
      <c r="F18" s="43" t="s">
        <v>660</v>
      </c>
      <c r="G18" s="43" t="s">
        <v>661</v>
      </c>
      <c r="H18" s="6" t="s">
        <v>819</v>
      </c>
    </row>
    <row r="19" spans="2:8" ht="31.2" x14ac:dyDescent="0.4">
      <c r="B19" s="6" t="s">
        <v>628</v>
      </c>
      <c r="C19" s="6" t="s">
        <v>52</v>
      </c>
      <c r="D19" s="43" t="s">
        <v>659</v>
      </c>
      <c r="E19" s="43" t="s">
        <v>659</v>
      </c>
      <c r="F19" s="43" t="s">
        <v>660</v>
      </c>
      <c r="G19" s="43" t="s">
        <v>661</v>
      </c>
      <c r="H19" s="6" t="s">
        <v>820</v>
      </c>
    </row>
    <row r="20" spans="2:8" ht="31.2" x14ac:dyDescent="0.4">
      <c r="B20" s="6" t="s">
        <v>628</v>
      </c>
      <c r="C20" s="6" t="s">
        <v>708</v>
      </c>
      <c r="D20" s="43" t="s">
        <v>113</v>
      </c>
      <c r="E20" s="43" t="s">
        <v>113</v>
      </c>
      <c r="F20" s="43" t="s">
        <v>114</v>
      </c>
      <c r="G20" s="43" t="s">
        <v>115</v>
      </c>
      <c r="H20" s="6" t="s">
        <v>822</v>
      </c>
    </row>
    <row r="21" spans="2:8" x14ac:dyDescent="0.4">
      <c r="B21" s="6" t="s">
        <v>628</v>
      </c>
      <c r="C21" s="6" t="s">
        <v>56</v>
      </c>
      <c r="D21" s="43" t="s">
        <v>116</v>
      </c>
      <c r="E21" s="43" t="s">
        <v>116</v>
      </c>
      <c r="F21" s="43" t="s">
        <v>117</v>
      </c>
      <c r="G21" s="43" t="s">
        <v>118</v>
      </c>
      <c r="H21" s="6" t="s">
        <v>823</v>
      </c>
    </row>
    <row r="22" spans="2:8" ht="31.2" x14ac:dyDescent="0.4">
      <c r="B22" s="6" t="s">
        <v>629</v>
      </c>
      <c r="C22" s="6" t="s">
        <v>803</v>
      </c>
      <c r="D22" s="43" t="s">
        <v>663</v>
      </c>
      <c r="E22" s="43" t="s">
        <v>119</v>
      </c>
      <c r="F22" s="43" t="s">
        <v>120</v>
      </c>
      <c r="G22" s="43" t="s">
        <v>121</v>
      </c>
      <c r="H22" s="6" t="s">
        <v>824</v>
      </c>
    </row>
    <row r="23" spans="2:8" ht="31.2" x14ac:dyDescent="0.4">
      <c r="B23" s="6" t="s">
        <v>629</v>
      </c>
      <c r="C23" s="40" t="s">
        <v>804</v>
      </c>
      <c r="D23" s="43" t="s">
        <v>664</v>
      </c>
      <c r="E23" s="43" t="s">
        <v>122</v>
      </c>
      <c r="F23" s="43" t="s">
        <v>123</v>
      </c>
      <c r="G23" s="43" t="s">
        <v>124</v>
      </c>
      <c r="H23" s="6" t="s">
        <v>825</v>
      </c>
    </row>
    <row r="24" spans="2:8" ht="46.8" x14ac:dyDescent="0.4">
      <c r="B24" s="6" t="s">
        <v>629</v>
      </c>
      <c r="C24" s="6" t="s">
        <v>59</v>
      </c>
      <c r="D24" s="43" t="s">
        <v>125</v>
      </c>
      <c r="E24" s="43" t="s">
        <v>125</v>
      </c>
      <c r="F24" s="43" t="s">
        <v>126</v>
      </c>
      <c r="G24" s="43" t="s">
        <v>127</v>
      </c>
      <c r="H24" s="6" t="s">
        <v>826</v>
      </c>
    </row>
    <row r="25" spans="2:8" ht="31.2" x14ac:dyDescent="0.4">
      <c r="B25" s="6" t="s">
        <v>629</v>
      </c>
      <c r="C25" s="6" t="s">
        <v>61</v>
      </c>
      <c r="D25" s="43" t="s">
        <v>770</v>
      </c>
      <c r="E25" s="43" t="s">
        <v>665</v>
      </c>
      <c r="F25" s="43" t="s">
        <v>666</v>
      </c>
      <c r="G25" s="43" t="s">
        <v>667</v>
      </c>
      <c r="H25" s="6" t="s">
        <v>827</v>
      </c>
    </row>
    <row r="26" spans="2:8" ht="46.8" x14ac:dyDescent="0.4">
      <c r="B26" s="6" t="s">
        <v>669</v>
      </c>
      <c r="C26" s="6" t="s">
        <v>688</v>
      </c>
      <c r="D26" s="43" t="s">
        <v>771</v>
      </c>
      <c r="E26" s="43" t="s">
        <v>128</v>
      </c>
      <c r="F26" s="43" t="s">
        <v>129</v>
      </c>
      <c r="G26" s="43" t="s">
        <v>670</v>
      </c>
      <c r="H26" s="6" t="s">
        <v>828</v>
      </c>
    </row>
    <row r="27" spans="2:8" ht="31.2" x14ac:dyDescent="0.4">
      <c r="B27" s="6" t="s">
        <v>669</v>
      </c>
      <c r="C27" s="6" t="s">
        <v>690</v>
      </c>
      <c r="D27" s="43" t="s">
        <v>774</v>
      </c>
      <c r="E27" s="43" t="s">
        <v>772</v>
      </c>
      <c r="F27" s="43" t="s">
        <v>672</v>
      </c>
      <c r="G27" s="43" t="s">
        <v>673</v>
      </c>
      <c r="H27" s="6" t="s">
        <v>829</v>
      </c>
    </row>
    <row r="28" spans="2:8" ht="31.2" x14ac:dyDescent="0.4">
      <c r="B28" s="6" t="s">
        <v>669</v>
      </c>
      <c r="C28" s="6" t="s">
        <v>691</v>
      </c>
      <c r="D28" s="43" t="s">
        <v>773</v>
      </c>
      <c r="E28" s="43" t="s">
        <v>675</v>
      </c>
      <c r="F28" s="43" t="s">
        <v>676</v>
      </c>
      <c r="G28" s="43" t="s">
        <v>677</v>
      </c>
      <c r="H28" s="6" t="s">
        <v>830</v>
      </c>
    </row>
    <row r="29" spans="2:8" ht="31.2" x14ac:dyDescent="0.4">
      <c r="B29" s="6" t="s">
        <v>669</v>
      </c>
      <c r="C29" s="6" t="s">
        <v>712</v>
      </c>
      <c r="D29" s="43" t="s">
        <v>692</v>
      </c>
      <c r="E29" s="43" t="s">
        <v>128</v>
      </c>
      <c r="F29" s="43" t="s">
        <v>129</v>
      </c>
      <c r="G29" s="43" t="s">
        <v>670</v>
      </c>
      <c r="H29" s="6" t="s">
        <v>831</v>
      </c>
    </row>
    <row r="30" spans="2:8" ht="32.549999999999997" customHeight="1" x14ac:dyDescent="0.4">
      <c r="B30" s="6" t="s">
        <v>669</v>
      </c>
      <c r="C30" s="6" t="s">
        <v>693</v>
      </c>
      <c r="D30" s="43" t="s">
        <v>775</v>
      </c>
      <c r="E30" s="43" t="s">
        <v>113</v>
      </c>
      <c r="F30" s="43" t="s">
        <v>114</v>
      </c>
      <c r="G30" s="43" t="s">
        <v>115</v>
      </c>
      <c r="H30" s="6" t="s">
        <v>832</v>
      </c>
    </row>
    <row r="31" spans="2:8" ht="31.2" x14ac:dyDescent="0.4">
      <c r="B31" s="6" t="s">
        <v>134</v>
      </c>
      <c r="C31" s="6" t="s">
        <v>69</v>
      </c>
      <c r="D31" s="43" t="s">
        <v>776</v>
      </c>
      <c r="E31" s="43">
        <v>0</v>
      </c>
      <c r="F31" s="43" t="s">
        <v>130</v>
      </c>
      <c r="G31" s="43" t="s">
        <v>131</v>
      </c>
      <c r="H31" s="6" t="s">
        <v>833</v>
      </c>
    </row>
    <row r="32" spans="2:8" ht="31.2" x14ac:dyDescent="0.4">
      <c r="B32" s="6" t="s">
        <v>134</v>
      </c>
      <c r="C32" s="6" t="s">
        <v>71</v>
      </c>
      <c r="D32" s="41">
        <v>0</v>
      </c>
      <c r="E32" s="41">
        <v>0</v>
      </c>
      <c r="F32" s="43" t="s">
        <v>132</v>
      </c>
      <c r="G32" s="43" t="s">
        <v>133</v>
      </c>
      <c r="H32" s="6" t="s">
        <v>834</v>
      </c>
    </row>
    <row r="33" spans="2:8" ht="31.2" x14ac:dyDescent="0.4">
      <c r="B33" s="6" t="s">
        <v>134</v>
      </c>
      <c r="C33" s="6" t="s">
        <v>78</v>
      </c>
      <c r="D33" s="43" t="s">
        <v>776</v>
      </c>
      <c r="E33" s="43">
        <v>0</v>
      </c>
      <c r="F33" s="43" t="s">
        <v>132</v>
      </c>
      <c r="G33" s="43" t="s">
        <v>682</v>
      </c>
      <c r="H33" s="6" t="s">
        <v>835</v>
      </c>
    </row>
    <row r="34" spans="2:8" x14ac:dyDescent="0.4">
      <c r="B34" s="6" t="s">
        <v>134</v>
      </c>
      <c r="C34" s="6" t="s">
        <v>74</v>
      </c>
      <c r="D34" s="43" t="s">
        <v>79</v>
      </c>
      <c r="E34" s="43">
        <v>0</v>
      </c>
      <c r="F34" s="43" t="s">
        <v>130</v>
      </c>
      <c r="G34" s="43" t="s">
        <v>685</v>
      </c>
      <c r="H34" s="6" t="s">
        <v>714</v>
      </c>
    </row>
    <row r="35" spans="2:8" ht="31.2" x14ac:dyDescent="0.4">
      <c r="B35" s="6" t="s">
        <v>134</v>
      </c>
      <c r="C35" s="6" t="s">
        <v>76</v>
      </c>
      <c r="D35" s="43" t="s">
        <v>135</v>
      </c>
      <c r="E35" s="43" t="s">
        <v>135</v>
      </c>
      <c r="F35" s="43" t="s">
        <v>136</v>
      </c>
      <c r="G35" s="43" t="s">
        <v>137</v>
      </c>
      <c r="H35" s="6" t="s">
        <v>836</v>
      </c>
    </row>
  </sheetData>
  <mergeCells count="1">
    <mergeCell ref="B4:H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5C79-7F96-438A-82E3-48A63F936C2B}">
  <sheetPr>
    <tabColor theme="3" tint="0.749992370372631"/>
  </sheetPr>
  <dimension ref="B1:F18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E19" sqref="E19"/>
    </sheetView>
  </sheetViews>
  <sheetFormatPr defaultRowHeight="17.399999999999999" x14ac:dyDescent="0.4"/>
  <cols>
    <col min="1" max="1" width="1.3984375" customWidth="1"/>
    <col min="2" max="2" width="14.3984375" bestFit="1" customWidth="1"/>
    <col min="3" max="3" width="21.296875" bestFit="1" customWidth="1"/>
    <col min="4" max="4" width="47.69921875" bestFit="1" customWidth="1"/>
    <col min="5" max="5" width="9.8984375" style="36" bestFit="1" customWidth="1"/>
    <col min="6" max="6" width="44.59765625" bestFit="1" customWidth="1"/>
  </cols>
  <sheetData>
    <row r="1" spans="2:6" ht="9" customHeight="1" x14ac:dyDescent="0.4"/>
    <row r="2" spans="2:6" x14ac:dyDescent="0.4">
      <c r="B2" s="46" t="s">
        <v>695</v>
      </c>
      <c r="C2" s="46" t="s">
        <v>716</v>
      </c>
      <c r="D2" s="46" t="s">
        <v>717</v>
      </c>
      <c r="E2" s="45" t="s">
        <v>718</v>
      </c>
      <c r="F2" s="46" t="s">
        <v>808</v>
      </c>
    </row>
    <row r="3" spans="2:6" s="38" customFormat="1" ht="15.6" x14ac:dyDescent="0.4">
      <c r="B3" s="39" t="s">
        <v>696</v>
      </c>
      <c r="C3" s="39" t="s">
        <v>719</v>
      </c>
      <c r="D3" s="39" t="s">
        <v>720</v>
      </c>
      <c r="E3" s="47">
        <v>2023</v>
      </c>
      <c r="F3" s="39" t="s">
        <v>807</v>
      </c>
    </row>
    <row r="4" spans="2:6" s="38" customFormat="1" ht="15.6" x14ac:dyDescent="0.4">
      <c r="B4" s="39" t="s">
        <v>703</v>
      </c>
      <c r="C4" s="39" t="s">
        <v>719</v>
      </c>
      <c r="D4" s="39" t="s">
        <v>721</v>
      </c>
      <c r="E4" s="47">
        <v>2024</v>
      </c>
      <c r="F4" s="39" t="s">
        <v>722</v>
      </c>
    </row>
    <row r="5" spans="2:6" s="38" customFormat="1" ht="15.6" x14ac:dyDescent="0.4">
      <c r="B5" s="39" t="s">
        <v>700</v>
      </c>
      <c r="C5" s="39" t="s">
        <v>723</v>
      </c>
      <c r="D5" s="39" t="s">
        <v>724</v>
      </c>
      <c r="E5" s="47">
        <v>2011</v>
      </c>
      <c r="F5" s="39" t="s">
        <v>725</v>
      </c>
    </row>
    <row r="6" spans="2:6" s="38" customFormat="1" ht="15.6" x14ac:dyDescent="0.4">
      <c r="B6" s="39" t="s">
        <v>704</v>
      </c>
      <c r="C6" s="39" t="s">
        <v>726</v>
      </c>
      <c r="D6" s="39" t="s">
        <v>727</v>
      </c>
      <c r="E6" s="47">
        <v>2018</v>
      </c>
      <c r="F6" s="39" t="s">
        <v>728</v>
      </c>
    </row>
    <row r="7" spans="2:6" s="38" customFormat="1" ht="15.6" x14ac:dyDescent="0.4">
      <c r="B7" s="39" t="s">
        <v>709</v>
      </c>
      <c r="C7" s="39" t="s">
        <v>729</v>
      </c>
      <c r="D7" s="39" t="s">
        <v>730</v>
      </c>
      <c r="E7" s="47" t="s">
        <v>731</v>
      </c>
      <c r="F7" s="39" t="s">
        <v>732</v>
      </c>
    </row>
    <row r="8" spans="2:6" s="38" customFormat="1" ht="15.6" x14ac:dyDescent="0.4">
      <c r="B8" s="39" t="s">
        <v>707</v>
      </c>
      <c r="C8" s="39" t="s">
        <v>733</v>
      </c>
      <c r="D8" s="39" t="s">
        <v>734</v>
      </c>
      <c r="E8" s="47">
        <v>2016</v>
      </c>
      <c r="F8" s="39" t="s">
        <v>735</v>
      </c>
    </row>
    <row r="9" spans="2:6" s="38" customFormat="1" ht="15.6" x14ac:dyDescent="0.4">
      <c r="B9" s="39" t="s">
        <v>710</v>
      </c>
      <c r="C9" s="39" t="s">
        <v>736</v>
      </c>
      <c r="D9" s="39" t="s">
        <v>737</v>
      </c>
      <c r="E9" s="47" t="s">
        <v>731</v>
      </c>
      <c r="F9" s="39" t="s">
        <v>738</v>
      </c>
    </row>
    <row r="10" spans="2:6" s="38" customFormat="1" ht="15.6" x14ac:dyDescent="0.4">
      <c r="B10" s="39" t="s">
        <v>705</v>
      </c>
      <c r="C10" s="39" t="s">
        <v>739</v>
      </c>
      <c r="D10" s="39" t="s">
        <v>740</v>
      </c>
      <c r="E10" s="47" t="s">
        <v>731</v>
      </c>
      <c r="F10" s="39" t="s">
        <v>741</v>
      </c>
    </row>
    <row r="11" spans="2:6" s="38" customFormat="1" ht="15.6" x14ac:dyDescent="0.4">
      <c r="B11" s="39" t="s">
        <v>713</v>
      </c>
      <c r="C11" s="39" t="s">
        <v>742</v>
      </c>
      <c r="D11" s="39" t="s">
        <v>743</v>
      </c>
      <c r="E11" s="47" t="s">
        <v>744</v>
      </c>
      <c r="F11" s="39" t="s">
        <v>745</v>
      </c>
    </row>
    <row r="12" spans="2:6" s="38" customFormat="1" ht="15.6" x14ac:dyDescent="0.4">
      <c r="B12" s="39" t="s">
        <v>697</v>
      </c>
      <c r="C12" s="39" t="s">
        <v>746</v>
      </c>
      <c r="D12" s="39" t="s">
        <v>747</v>
      </c>
      <c r="E12" s="47" t="s">
        <v>731</v>
      </c>
      <c r="F12" s="39" t="s">
        <v>748</v>
      </c>
    </row>
    <row r="13" spans="2:6" s="38" customFormat="1" ht="15.6" x14ac:dyDescent="0.4">
      <c r="B13" s="39" t="s">
        <v>698</v>
      </c>
      <c r="C13" s="39" t="s">
        <v>749</v>
      </c>
      <c r="D13" s="39" t="s">
        <v>750</v>
      </c>
      <c r="E13" s="47">
        <v>2020</v>
      </c>
      <c r="F13" s="39" t="s">
        <v>751</v>
      </c>
    </row>
    <row r="14" spans="2:6" s="38" customFormat="1" ht="15.6" x14ac:dyDescent="0.4">
      <c r="B14" s="39" t="s">
        <v>701</v>
      </c>
      <c r="C14" s="39" t="s">
        <v>752</v>
      </c>
      <c r="D14" s="39" t="s">
        <v>753</v>
      </c>
      <c r="E14" s="47">
        <v>2022</v>
      </c>
      <c r="F14" s="39" t="s">
        <v>754</v>
      </c>
    </row>
    <row r="15" spans="2:6" s="38" customFormat="1" ht="15.6" x14ac:dyDescent="0.4">
      <c r="B15" s="39" t="s">
        <v>711</v>
      </c>
      <c r="C15" s="39" t="s">
        <v>755</v>
      </c>
      <c r="D15" s="39" t="s">
        <v>756</v>
      </c>
      <c r="E15" s="47">
        <v>2023</v>
      </c>
      <c r="F15" s="39" t="s">
        <v>757</v>
      </c>
    </row>
    <row r="16" spans="2:6" s="38" customFormat="1" ht="15.6" x14ac:dyDescent="0.4">
      <c r="B16" s="39" t="s">
        <v>715</v>
      </c>
      <c r="C16" s="39" t="s">
        <v>739</v>
      </c>
      <c r="D16" s="39" t="s">
        <v>758</v>
      </c>
      <c r="E16" s="47">
        <v>2023</v>
      </c>
      <c r="F16" s="39" t="s">
        <v>759</v>
      </c>
    </row>
    <row r="17" spans="2:6" s="38" customFormat="1" ht="15.6" x14ac:dyDescent="0.4">
      <c r="B17" s="39" t="s">
        <v>760</v>
      </c>
      <c r="C17" s="39" t="s">
        <v>761</v>
      </c>
      <c r="D17" s="39" t="s">
        <v>762</v>
      </c>
      <c r="E17" s="47">
        <v>2023</v>
      </c>
      <c r="F17" s="39" t="s">
        <v>763</v>
      </c>
    </row>
    <row r="18" spans="2:6" s="38" customFormat="1" ht="15.6" x14ac:dyDescent="0.4">
      <c r="B18" s="39" t="s">
        <v>764</v>
      </c>
      <c r="C18" s="39" t="s">
        <v>765</v>
      </c>
      <c r="D18" s="39" t="s">
        <v>766</v>
      </c>
      <c r="E18" s="47">
        <v>2023</v>
      </c>
      <c r="F18" s="39" t="s">
        <v>767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9779-21D4-4EDC-90F4-11F50DA4A7A9}">
  <sheetPr>
    <tabColor theme="3" tint="0.749992370372631"/>
  </sheetPr>
  <dimension ref="B2:P38"/>
  <sheetViews>
    <sheetView workbookViewId="0">
      <selection activeCell="F10" sqref="F10"/>
    </sheetView>
  </sheetViews>
  <sheetFormatPr defaultColWidth="14.296875" defaultRowHeight="15.6" x14ac:dyDescent="0.4"/>
  <cols>
    <col min="1" max="1" width="2.19921875" style="21" customWidth="1"/>
    <col min="2" max="2" width="10.09765625" style="21" customWidth="1"/>
    <col min="3" max="3" width="15.59765625" style="21" customWidth="1"/>
    <col min="4" max="4" width="11.3984375" style="21" customWidth="1"/>
    <col min="5" max="5" width="20.796875" style="21" customWidth="1"/>
    <col min="6" max="6" width="23.296875" style="21" customWidth="1"/>
    <col min="7" max="7" width="24.796875" style="21" customWidth="1"/>
    <col min="8" max="8" width="19.796875" style="21" customWidth="1"/>
    <col min="9" max="10" width="14.296875" style="21"/>
    <col min="11" max="13" width="22.796875" style="21" customWidth="1"/>
    <col min="14" max="14" width="14.296875" style="21"/>
    <col min="15" max="15" width="30.5" style="21" customWidth="1"/>
    <col min="16" max="16384" width="14.296875" style="21"/>
  </cols>
  <sheetData>
    <row r="2" spans="2:16" ht="31.2" x14ac:dyDescent="0.4">
      <c r="B2" s="18" t="s">
        <v>138</v>
      </c>
      <c r="C2" s="18" t="s">
        <v>139</v>
      </c>
      <c r="D2" s="19" t="s">
        <v>637</v>
      </c>
      <c r="E2" s="18" t="s">
        <v>140</v>
      </c>
      <c r="F2" s="18" t="s">
        <v>141</v>
      </c>
      <c r="G2" s="18" t="s">
        <v>142</v>
      </c>
      <c r="H2" s="18" t="s">
        <v>143</v>
      </c>
      <c r="I2" s="18" t="s">
        <v>144</v>
      </c>
      <c r="J2" s="18" t="s">
        <v>145</v>
      </c>
      <c r="K2" s="20" t="s">
        <v>623</v>
      </c>
      <c r="L2" s="20" t="s">
        <v>624</v>
      </c>
      <c r="M2" s="20" t="s">
        <v>625</v>
      </c>
      <c r="N2" s="18" t="s">
        <v>146</v>
      </c>
      <c r="O2" s="18" t="s">
        <v>147</v>
      </c>
    </row>
    <row r="3" spans="2:16" ht="46.8" x14ac:dyDescent="0.4">
      <c r="B3" s="6" t="s">
        <v>148</v>
      </c>
      <c r="C3" s="6" t="s">
        <v>149</v>
      </c>
      <c r="D3" s="6" t="s">
        <v>150</v>
      </c>
      <c r="E3" s="6" t="s">
        <v>151</v>
      </c>
      <c r="F3" s="6" t="s">
        <v>152</v>
      </c>
      <c r="G3" s="6" t="s">
        <v>153</v>
      </c>
      <c r="H3" s="6" t="s">
        <v>154</v>
      </c>
      <c r="I3" s="6" t="s">
        <v>155</v>
      </c>
      <c r="J3" s="6" t="s">
        <v>156</v>
      </c>
      <c r="K3" s="6" t="s">
        <v>157</v>
      </c>
      <c r="L3" s="6" t="s">
        <v>158</v>
      </c>
      <c r="M3" s="6" t="s">
        <v>159</v>
      </c>
      <c r="N3" s="6" t="s">
        <v>160</v>
      </c>
      <c r="O3" s="6"/>
      <c r="P3" s="21" t="s">
        <v>147</v>
      </c>
    </row>
    <row r="4" spans="2:16" ht="31.2" x14ac:dyDescent="0.4">
      <c r="B4" s="6" t="s">
        <v>148</v>
      </c>
      <c r="C4" s="6" t="s">
        <v>149</v>
      </c>
      <c r="D4" s="6" t="s">
        <v>161</v>
      </c>
      <c r="E4" s="6" t="s">
        <v>162</v>
      </c>
      <c r="F4" s="6" t="s">
        <v>163</v>
      </c>
      <c r="G4" s="6" t="s">
        <v>164</v>
      </c>
      <c r="H4" s="6" t="s">
        <v>165</v>
      </c>
      <c r="I4" s="6" t="s">
        <v>166</v>
      </c>
      <c r="J4" s="6" t="s">
        <v>167</v>
      </c>
      <c r="K4" s="6" t="s">
        <v>168</v>
      </c>
      <c r="L4" s="6" t="s">
        <v>169</v>
      </c>
      <c r="M4" s="6" t="s">
        <v>159</v>
      </c>
      <c r="N4" s="6" t="s">
        <v>170</v>
      </c>
      <c r="O4" s="6"/>
    </row>
    <row r="5" spans="2:16" ht="31.2" x14ac:dyDescent="0.4">
      <c r="B5" s="6" t="s">
        <v>148</v>
      </c>
      <c r="C5" s="6" t="s">
        <v>149</v>
      </c>
      <c r="D5" s="6" t="s">
        <v>171</v>
      </c>
      <c r="E5" s="6" t="s">
        <v>172</v>
      </c>
      <c r="F5" s="6" t="s">
        <v>173</v>
      </c>
      <c r="G5" s="6" t="s">
        <v>174</v>
      </c>
      <c r="H5" s="6" t="s">
        <v>175</v>
      </c>
      <c r="I5" s="6" t="s">
        <v>176</v>
      </c>
      <c r="J5" s="6" t="s">
        <v>177</v>
      </c>
      <c r="K5" s="6" t="s">
        <v>178</v>
      </c>
      <c r="L5" s="6" t="s">
        <v>179</v>
      </c>
      <c r="M5" s="6" t="s">
        <v>159</v>
      </c>
      <c r="N5" s="6" t="s">
        <v>180</v>
      </c>
      <c r="O5" s="6"/>
    </row>
    <row r="6" spans="2:16" ht="31.2" x14ac:dyDescent="0.4">
      <c r="B6" s="6" t="s">
        <v>148</v>
      </c>
      <c r="C6" s="6" t="s">
        <v>181</v>
      </c>
      <c r="D6" s="6" t="s">
        <v>182</v>
      </c>
      <c r="E6" s="6" t="s">
        <v>183</v>
      </c>
      <c r="F6" s="6" t="s">
        <v>184</v>
      </c>
      <c r="G6" s="6" t="s">
        <v>185</v>
      </c>
      <c r="H6" s="6" t="s">
        <v>186</v>
      </c>
      <c r="I6" s="6" t="s">
        <v>187</v>
      </c>
      <c r="J6" s="6" t="s">
        <v>188</v>
      </c>
      <c r="K6" s="6" t="s">
        <v>189</v>
      </c>
      <c r="L6" s="6" t="s">
        <v>190</v>
      </c>
      <c r="M6" s="6" t="s">
        <v>159</v>
      </c>
      <c r="N6" s="6" t="s">
        <v>170</v>
      </c>
      <c r="O6" s="6"/>
    </row>
    <row r="7" spans="2:16" ht="31.2" x14ac:dyDescent="0.4">
      <c r="B7" s="6" t="s">
        <v>148</v>
      </c>
      <c r="C7" s="6" t="s">
        <v>181</v>
      </c>
      <c r="D7" s="6" t="s">
        <v>191</v>
      </c>
      <c r="E7" s="6" t="s">
        <v>192</v>
      </c>
      <c r="F7" s="6" t="s">
        <v>193</v>
      </c>
      <c r="G7" s="6" t="s">
        <v>194</v>
      </c>
      <c r="H7" s="6" t="s">
        <v>195</v>
      </c>
      <c r="I7" s="6" t="s">
        <v>196</v>
      </c>
      <c r="J7" s="6" t="s">
        <v>197</v>
      </c>
      <c r="K7" s="6" t="s">
        <v>198</v>
      </c>
      <c r="L7" s="6" t="s">
        <v>199</v>
      </c>
      <c r="M7" s="6" t="s">
        <v>159</v>
      </c>
      <c r="N7" s="6" t="s">
        <v>200</v>
      </c>
      <c r="O7" s="6"/>
    </row>
    <row r="8" spans="2:16" ht="31.2" x14ac:dyDescent="0.4">
      <c r="B8" s="6" t="s">
        <v>148</v>
      </c>
      <c r="C8" s="6" t="s">
        <v>201</v>
      </c>
      <c r="D8" s="6" t="s">
        <v>202</v>
      </c>
      <c r="E8" s="6" t="s">
        <v>203</v>
      </c>
      <c r="F8" s="6" t="s">
        <v>204</v>
      </c>
      <c r="G8" s="6" t="s">
        <v>205</v>
      </c>
      <c r="H8" s="6" t="s">
        <v>206</v>
      </c>
      <c r="I8" s="6" t="s">
        <v>207</v>
      </c>
      <c r="J8" s="6" t="s">
        <v>208</v>
      </c>
      <c r="K8" s="6" t="s">
        <v>209</v>
      </c>
      <c r="L8" s="6" t="s">
        <v>210</v>
      </c>
      <c r="M8" s="6" t="s">
        <v>159</v>
      </c>
      <c r="N8" s="6" t="s">
        <v>211</v>
      </c>
      <c r="O8" s="6"/>
    </row>
    <row r="9" spans="2:16" ht="31.2" x14ac:dyDescent="0.4">
      <c r="B9" s="6" t="s">
        <v>148</v>
      </c>
      <c r="C9" s="6" t="s">
        <v>201</v>
      </c>
      <c r="D9" s="6" t="s">
        <v>212</v>
      </c>
      <c r="E9" s="6" t="s">
        <v>213</v>
      </c>
      <c r="F9" s="6" t="s">
        <v>214</v>
      </c>
      <c r="G9" s="6" t="s">
        <v>215</v>
      </c>
      <c r="H9" s="6" t="s">
        <v>216</v>
      </c>
      <c r="I9" s="6" t="s">
        <v>207</v>
      </c>
      <c r="J9" s="6" t="s">
        <v>217</v>
      </c>
      <c r="K9" s="6" t="s">
        <v>218</v>
      </c>
      <c r="L9" s="6" t="s">
        <v>219</v>
      </c>
      <c r="M9" s="6" t="s">
        <v>159</v>
      </c>
      <c r="N9" s="6" t="s">
        <v>211</v>
      </c>
      <c r="O9" s="6"/>
    </row>
    <row r="10" spans="2:16" ht="31.2" x14ac:dyDescent="0.4">
      <c r="B10" s="6" t="s">
        <v>148</v>
      </c>
      <c r="C10" s="6" t="s">
        <v>201</v>
      </c>
      <c r="D10" s="6" t="s">
        <v>220</v>
      </c>
      <c r="E10" s="6" t="s">
        <v>221</v>
      </c>
      <c r="F10" s="6" t="s">
        <v>222</v>
      </c>
      <c r="G10" s="6" t="s">
        <v>223</v>
      </c>
      <c r="H10" s="6" t="s">
        <v>224</v>
      </c>
      <c r="I10" s="6" t="s">
        <v>225</v>
      </c>
      <c r="J10" s="6" t="s">
        <v>226</v>
      </c>
      <c r="K10" s="6" t="s">
        <v>227</v>
      </c>
      <c r="L10" s="6" t="s">
        <v>228</v>
      </c>
      <c r="M10" s="6" t="s">
        <v>229</v>
      </c>
      <c r="N10" s="6" t="s">
        <v>230</v>
      </c>
      <c r="O10" s="6"/>
    </row>
    <row r="11" spans="2:16" ht="31.2" x14ac:dyDescent="0.4">
      <c r="B11" s="6" t="s">
        <v>148</v>
      </c>
      <c r="C11" s="6" t="s">
        <v>201</v>
      </c>
      <c r="D11" s="6" t="s">
        <v>231</v>
      </c>
      <c r="E11" s="6" t="s">
        <v>232</v>
      </c>
      <c r="F11" s="6" t="s">
        <v>233</v>
      </c>
      <c r="G11" s="6" t="s">
        <v>234</v>
      </c>
      <c r="H11" s="6" t="s">
        <v>216</v>
      </c>
      <c r="I11" s="6" t="s">
        <v>235</v>
      </c>
      <c r="J11" s="6" t="s">
        <v>236</v>
      </c>
      <c r="K11" s="6" t="s">
        <v>237</v>
      </c>
      <c r="L11" s="6" t="s">
        <v>238</v>
      </c>
      <c r="M11" s="6" t="s">
        <v>239</v>
      </c>
      <c r="N11" s="6" t="s">
        <v>240</v>
      </c>
      <c r="O11" s="6"/>
    </row>
    <row r="12" spans="2:16" ht="31.2" x14ac:dyDescent="0.4">
      <c r="B12" s="6" t="s">
        <v>241</v>
      </c>
      <c r="C12" s="6" t="s">
        <v>242</v>
      </c>
      <c r="D12" s="6" t="s">
        <v>243</v>
      </c>
      <c r="E12" s="6" t="s">
        <v>244</v>
      </c>
      <c r="F12" s="6" t="s">
        <v>245</v>
      </c>
      <c r="G12" s="6" t="s">
        <v>246</v>
      </c>
      <c r="H12" s="6" t="s">
        <v>224</v>
      </c>
      <c r="I12" s="6" t="s">
        <v>196</v>
      </c>
      <c r="J12" s="6" t="s">
        <v>247</v>
      </c>
      <c r="K12" s="6" t="s">
        <v>248</v>
      </c>
      <c r="L12" s="6" t="s">
        <v>249</v>
      </c>
      <c r="M12" s="6" t="s">
        <v>159</v>
      </c>
      <c r="N12" s="6" t="s">
        <v>250</v>
      </c>
      <c r="O12" s="6"/>
    </row>
    <row r="13" spans="2:16" ht="31.2" x14ac:dyDescent="0.4">
      <c r="B13" s="6" t="s">
        <v>241</v>
      </c>
      <c r="C13" s="6" t="s">
        <v>242</v>
      </c>
      <c r="D13" s="6" t="s">
        <v>251</v>
      </c>
      <c r="E13" s="6" t="s">
        <v>252</v>
      </c>
      <c r="F13" s="6" t="s">
        <v>253</v>
      </c>
      <c r="G13" s="6" t="s">
        <v>254</v>
      </c>
      <c r="H13" s="6" t="s">
        <v>255</v>
      </c>
      <c r="I13" s="6" t="s">
        <v>256</v>
      </c>
      <c r="J13" s="6" t="s">
        <v>257</v>
      </c>
      <c r="K13" s="6" t="s">
        <v>258</v>
      </c>
      <c r="L13" s="6" t="s">
        <v>259</v>
      </c>
      <c r="M13" s="6" t="s">
        <v>159</v>
      </c>
      <c r="N13" s="6" t="s">
        <v>260</v>
      </c>
      <c r="O13" s="6"/>
    </row>
    <row r="14" spans="2:16" ht="31.2" x14ac:dyDescent="0.4">
      <c r="B14" s="6" t="s">
        <v>241</v>
      </c>
      <c r="C14" s="6" t="s">
        <v>242</v>
      </c>
      <c r="D14" s="6" t="s">
        <v>261</v>
      </c>
      <c r="E14" s="6" t="s">
        <v>262</v>
      </c>
      <c r="F14" s="6" t="s">
        <v>263</v>
      </c>
      <c r="G14" s="6" t="s">
        <v>264</v>
      </c>
      <c r="H14" s="6" t="s">
        <v>265</v>
      </c>
      <c r="I14" s="6" t="s">
        <v>266</v>
      </c>
      <c r="J14" s="6" t="s">
        <v>267</v>
      </c>
      <c r="K14" s="6" t="s">
        <v>268</v>
      </c>
      <c r="L14" s="6" t="s">
        <v>269</v>
      </c>
      <c r="M14" s="6" t="s">
        <v>159</v>
      </c>
      <c r="N14" s="6" t="s">
        <v>270</v>
      </c>
      <c r="O14" s="6"/>
    </row>
    <row r="15" spans="2:16" ht="31.2" x14ac:dyDescent="0.4">
      <c r="B15" s="6" t="s">
        <v>241</v>
      </c>
      <c r="C15" s="6" t="s">
        <v>242</v>
      </c>
      <c r="D15" s="6" t="s">
        <v>271</v>
      </c>
      <c r="E15" s="6" t="s">
        <v>272</v>
      </c>
      <c r="F15" s="6" t="s">
        <v>273</v>
      </c>
      <c r="G15" s="6" t="s">
        <v>274</v>
      </c>
      <c r="H15" s="6" t="s">
        <v>275</v>
      </c>
      <c r="I15" s="6" t="s">
        <v>276</v>
      </c>
      <c r="J15" s="6" t="s">
        <v>277</v>
      </c>
      <c r="K15" s="6" t="s">
        <v>278</v>
      </c>
      <c r="L15" s="6" t="s">
        <v>279</v>
      </c>
      <c r="M15" s="6" t="s">
        <v>159</v>
      </c>
      <c r="N15" s="6" t="s">
        <v>280</v>
      </c>
      <c r="O15" s="6"/>
    </row>
    <row r="16" spans="2:16" ht="31.2" x14ac:dyDescent="0.4">
      <c r="B16" s="6" t="s">
        <v>241</v>
      </c>
      <c r="C16" s="6" t="s">
        <v>281</v>
      </c>
      <c r="D16" s="6" t="s">
        <v>282</v>
      </c>
      <c r="E16" s="6" t="s">
        <v>283</v>
      </c>
      <c r="F16" s="6" t="s">
        <v>284</v>
      </c>
      <c r="G16" s="6" t="s">
        <v>285</v>
      </c>
      <c r="H16" s="6" t="s">
        <v>286</v>
      </c>
      <c r="I16" s="6" t="s">
        <v>196</v>
      </c>
      <c r="J16" s="6" t="s">
        <v>287</v>
      </c>
      <c r="K16" s="6" t="s">
        <v>288</v>
      </c>
      <c r="L16" s="6" t="s">
        <v>289</v>
      </c>
      <c r="M16" s="6" t="s">
        <v>159</v>
      </c>
      <c r="N16" s="6" t="s">
        <v>250</v>
      </c>
      <c r="O16" s="6"/>
    </row>
    <row r="17" spans="2:15" ht="31.2" x14ac:dyDescent="0.4">
      <c r="B17" s="6" t="s">
        <v>241</v>
      </c>
      <c r="C17" s="6" t="s">
        <v>281</v>
      </c>
      <c r="D17" s="6" t="s">
        <v>290</v>
      </c>
      <c r="E17" s="6" t="s">
        <v>291</v>
      </c>
      <c r="F17" s="6" t="s">
        <v>292</v>
      </c>
      <c r="G17" s="6" t="s">
        <v>293</v>
      </c>
      <c r="H17" s="6" t="s">
        <v>294</v>
      </c>
      <c r="I17" s="6" t="s">
        <v>295</v>
      </c>
      <c r="J17" s="6" t="s">
        <v>296</v>
      </c>
      <c r="K17" s="6" t="s">
        <v>297</v>
      </c>
      <c r="L17" s="6" t="s">
        <v>298</v>
      </c>
      <c r="M17" s="6" t="s">
        <v>159</v>
      </c>
      <c r="N17" s="6" t="s">
        <v>270</v>
      </c>
      <c r="O17" s="6"/>
    </row>
    <row r="18" spans="2:15" ht="31.2" x14ac:dyDescent="0.4">
      <c r="B18" s="6" t="s">
        <v>241</v>
      </c>
      <c r="C18" s="6" t="s">
        <v>299</v>
      </c>
      <c r="D18" s="6" t="s">
        <v>300</v>
      </c>
      <c r="E18" s="6" t="s">
        <v>301</v>
      </c>
      <c r="F18" s="6" t="s">
        <v>302</v>
      </c>
      <c r="G18" s="6" t="s">
        <v>303</v>
      </c>
      <c r="H18" s="6" t="s">
        <v>304</v>
      </c>
      <c r="I18" s="6" t="s">
        <v>295</v>
      </c>
      <c r="J18" s="6" t="s">
        <v>305</v>
      </c>
      <c r="K18" s="6" t="s">
        <v>306</v>
      </c>
      <c r="L18" s="6" t="s">
        <v>307</v>
      </c>
      <c r="M18" s="6" t="s">
        <v>159</v>
      </c>
      <c r="N18" s="6" t="s">
        <v>308</v>
      </c>
      <c r="O18" s="6"/>
    </row>
    <row r="19" spans="2:15" ht="31.2" x14ac:dyDescent="0.4">
      <c r="B19" s="6" t="s">
        <v>241</v>
      </c>
      <c r="C19" s="6" t="s">
        <v>299</v>
      </c>
      <c r="D19" s="6" t="s">
        <v>309</v>
      </c>
      <c r="E19" s="6" t="s">
        <v>310</v>
      </c>
      <c r="F19" s="6" t="s">
        <v>311</v>
      </c>
      <c r="G19" s="6" t="s">
        <v>312</v>
      </c>
      <c r="H19" s="6" t="s">
        <v>313</v>
      </c>
      <c r="I19" s="6" t="s">
        <v>276</v>
      </c>
      <c r="J19" s="6" t="s">
        <v>314</v>
      </c>
      <c r="K19" s="6" t="s">
        <v>315</v>
      </c>
      <c r="L19" s="6" t="s">
        <v>316</v>
      </c>
      <c r="M19" s="6" t="s">
        <v>159</v>
      </c>
      <c r="N19" s="6" t="s">
        <v>317</v>
      </c>
      <c r="O19" s="6"/>
    </row>
    <row r="20" spans="2:15" ht="31.2" x14ac:dyDescent="0.4">
      <c r="B20" s="6" t="s">
        <v>148</v>
      </c>
      <c r="C20" s="6" t="s">
        <v>201</v>
      </c>
      <c r="D20" s="6" t="s">
        <v>318</v>
      </c>
      <c r="E20" s="6" t="s">
        <v>319</v>
      </c>
      <c r="F20" s="6" t="s">
        <v>320</v>
      </c>
      <c r="G20" s="6" t="s">
        <v>321</v>
      </c>
      <c r="H20" s="6" t="s">
        <v>322</v>
      </c>
      <c r="I20" s="6" t="s">
        <v>276</v>
      </c>
      <c r="J20" s="6" t="s">
        <v>323</v>
      </c>
      <c r="K20" s="6" t="s">
        <v>324</v>
      </c>
      <c r="L20" s="6" t="s">
        <v>325</v>
      </c>
      <c r="M20" s="6" t="s">
        <v>159</v>
      </c>
      <c r="N20" s="6" t="s">
        <v>326</v>
      </c>
      <c r="O20" s="6"/>
    </row>
    <row r="21" spans="2:15" ht="31.2" x14ac:dyDescent="0.4">
      <c r="B21" s="6" t="s">
        <v>148</v>
      </c>
      <c r="C21" s="6" t="s">
        <v>201</v>
      </c>
      <c r="D21" s="6" t="s">
        <v>327</v>
      </c>
      <c r="E21" s="6" t="s">
        <v>328</v>
      </c>
      <c r="F21" s="6" t="s">
        <v>329</v>
      </c>
      <c r="G21" s="6" t="s">
        <v>330</v>
      </c>
      <c r="H21" s="6" t="s">
        <v>331</v>
      </c>
      <c r="I21" s="6" t="s">
        <v>207</v>
      </c>
      <c r="J21" s="6" t="s">
        <v>332</v>
      </c>
      <c r="K21" s="6" t="s">
        <v>333</v>
      </c>
      <c r="L21" s="6" t="s">
        <v>334</v>
      </c>
      <c r="M21" s="6" t="s">
        <v>229</v>
      </c>
      <c r="N21" s="6" t="s">
        <v>335</v>
      </c>
      <c r="O21" s="6"/>
    </row>
    <row r="22" spans="2:15" ht="31.2" x14ac:dyDescent="0.4">
      <c r="B22" s="6" t="s">
        <v>241</v>
      </c>
      <c r="C22" s="6" t="s">
        <v>242</v>
      </c>
      <c r="D22" s="6" t="s">
        <v>336</v>
      </c>
      <c r="E22" s="6" t="s">
        <v>337</v>
      </c>
      <c r="F22" s="6" t="s">
        <v>338</v>
      </c>
      <c r="G22" s="6" t="s">
        <v>339</v>
      </c>
      <c r="H22" s="6" t="s">
        <v>340</v>
      </c>
      <c r="I22" s="6" t="s">
        <v>341</v>
      </c>
      <c r="J22" s="6" t="s">
        <v>342</v>
      </c>
      <c r="K22" s="6" t="s">
        <v>343</v>
      </c>
      <c r="L22" s="6" t="s">
        <v>344</v>
      </c>
      <c r="M22" s="6" t="s">
        <v>229</v>
      </c>
      <c r="N22" s="6" t="s">
        <v>270</v>
      </c>
      <c r="O22" s="6"/>
    </row>
    <row r="23" spans="2:15" ht="31.2" x14ac:dyDescent="0.4">
      <c r="B23" s="6" t="s">
        <v>345</v>
      </c>
      <c r="C23" s="6" t="s">
        <v>346</v>
      </c>
      <c r="D23" s="6" t="s">
        <v>347</v>
      </c>
      <c r="E23" s="6" t="s">
        <v>348</v>
      </c>
      <c r="F23" s="6" t="s">
        <v>349</v>
      </c>
      <c r="G23" s="6" t="s">
        <v>350</v>
      </c>
      <c r="H23" s="6" t="s">
        <v>255</v>
      </c>
      <c r="I23" s="6" t="s">
        <v>295</v>
      </c>
      <c r="J23" s="6" t="s">
        <v>305</v>
      </c>
      <c r="K23" s="6" t="s">
        <v>351</v>
      </c>
      <c r="L23" s="6" t="s">
        <v>352</v>
      </c>
      <c r="M23" s="6" t="s">
        <v>159</v>
      </c>
      <c r="N23" s="6" t="s">
        <v>308</v>
      </c>
      <c r="O23" s="6"/>
    </row>
    <row r="24" spans="2:15" ht="31.2" x14ac:dyDescent="0.4">
      <c r="B24" s="6" t="s">
        <v>345</v>
      </c>
      <c r="C24" s="6" t="s">
        <v>353</v>
      </c>
      <c r="D24" s="6" t="s">
        <v>354</v>
      </c>
      <c r="E24" s="6" t="s">
        <v>355</v>
      </c>
      <c r="F24" s="6" t="s">
        <v>356</v>
      </c>
      <c r="G24" s="6" t="s">
        <v>357</v>
      </c>
      <c r="H24" s="6" t="s">
        <v>358</v>
      </c>
      <c r="I24" s="6" t="s">
        <v>359</v>
      </c>
      <c r="J24" s="6" t="s">
        <v>360</v>
      </c>
      <c r="K24" s="6" t="s">
        <v>361</v>
      </c>
      <c r="L24" s="6" t="s">
        <v>362</v>
      </c>
      <c r="M24" s="6" t="s">
        <v>239</v>
      </c>
      <c r="N24" s="6" t="s">
        <v>363</v>
      </c>
      <c r="O24" s="6"/>
    </row>
    <row r="25" spans="2:15" ht="31.2" x14ac:dyDescent="0.4">
      <c r="B25" s="6" t="s">
        <v>345</v>
      </c>
      <c r="C25" s="6" t="s">
        <v>364</v>
      </c>
      <c r="D25" s="6" t="s">
        <v>365</v>
      </c>
      <c r="E25" s="6" t="s">
        <v>366</v>
      </c>
      <c r="F25" s="6" t="s">
        <v>367</v>
      </c>
      <c r="G25" s="6" t="s">
        <v>368</v>
      </c>
      <c r="H25" s="6" t="s">
        <v>369</v>
      </c>
      <c r="I25" s="6" t="s">
        <v>359</v>
      </c>
      <c r="J25" s="6" t="s">
        <v>370</v>
      </c>
      <c r="K25" s="6" t="s">
        <v>371</v>
      </c>
      <c r="L25" s="6" t="s">
        <v>372</v>
      </c>
      <c r="M25" s="6" t="s">
        <v>239</v>
      </c>
      <c r="N25" s="6" t="s">
        <v>363</v>
      </c>
      <c r="O25" s="6"/>
    </row>
    <row r="26" spans="2:15" ht="31.2" x14ac:dyDescent="0.4">
      <c r="B26" s="6" t="s">
        <v>148</v>
      </c>
      <c r="C26" s="6" t="s">
        <v>149</v>
      </c>
      <c r="D26" s="6" t="s">
        <v>373</v>
      </c>
      <c r="E26" s="6" t="s">
        <v>374</v>
      </c>
      <c r="F26" s="6" t="s">
        <v>375</v>
      </c>
      <c r="G26" s="6" t="s">
        <v>376</v>
      </c>
      <c r="H26" s="6" t="s">
        <v>377</v>
      </c>
      <c r="I26" s="6" t="s">
        <v>378</v>
      </c>
      <c r="J26" s="6" t="s">
        <v>379</v>
      </c>
      <c r="K26" s="6" t="s">
        <v>380</v>
      </c>
      <c r="L26" s="6" t="s">
        <v>381</v>
      </c>
      <c r="M26" s="6" t="s">
        <v>229</v>
      </c>
      <c r="N26" s="6" t="s">
        <v>382</v>
      </c>
      <c r="O26" s="6"/>
    </row>
    <row r="27" spans="2:15" ht="31.2" x14ac:dyDescent="0.4">
      <c r="B27" s="6" t="s">
        <v>148</v>
      </c>
      <c r="C27" s="6" t="s">
        <v>201</v>
      </c>
      <c r="D27" s="6" t="s">
        <v>383</v>
      </c>
      <c r="E27" s="6" t="s">
        <v>384</v>
      </c>
      <c r="F27" s="6" t="s">
        <v>385</v>
      </c>
      <c r="G27" s="6" t="s">
        <v>386</v>
      </c>
      <c r="H27" s="6" t="s">
        <v>216</v>
      </c>
      <c r="I27" s="6" t="s">
        <v>387</v>
      </c>
      <c r="J27" s="6" t="s">
        <v>388</v>
      </c>
      <c r="K27" s="6" t="s">
        <v>389</v>
      </c>
      <c r="L27" s="6" t="s">
        <v>239</v>
      </c>
      <c r="M27" s="6" t="s">
        <v>390</v>
      </c>
      <c r="N27" s="6"/>
      <c r="O27" s="6"/>
    </row>
    <row r="28" spans="2:15" ht="31.2" x14ac:dyDescent="0.4">
      <c r="B28" s="6" t="s">
        <v>241</v>
      </c>
      <c r="C28" s="6" t="s">
        <v>242</v>
      </c>
      <c r="D28" s="6" t="s">
        <v>391</v>
      </c>
      <c r="E28" s="6" t="s">
        <v>392</v>
      </c>
      <c r="F28" s="6" t="s">
        <v>393</v>
      </c>
      <c r="G28" s="6" t="s">
        <v>394</v>
      </c>
      <c r="H28" s="6" t="s">
        <v>224</v>
      </c>
      <c r="I28" s="6" t="s">
        <v>395</v>
      </c>
      <c r="J28" s="6" t="s">
        <v>396</v>
      </c>
      <c r="K28" s="6" t="s">
        <v>397</v>
      </c>
      <c r="L28" s="6" t="s">
        <v>398</v>
      </c>
      <c r="M28" s="6" t="s">
        <v>229</v>
      </c>
      <c r="N28" s="6" t="s">
        <v>270</v>
      </c>
      <c r="O28" s="6"/>
    </row>
    <row r="29" spans="2:15" ht="31.2" x14ac:dyDescent="0.4">
      <c r="B29" s="6" t="s">
        <v>241</v>
      </c>
      <c r="C29" s="6" t="s">
        <v>242</v>
      </c>
      <c r="D29" s="6" t="s">
        <v>399</v>
      </c>
      <c r="E29" s="6" t="s">
        <v>400</v>
      </c>
      <c r="F29" s="6" t="s">
        <v>401</v>
      </c>
      <c r="G29" s="6" t="s">
        <v>402</v>
      </c>
      <c r="H29" s="6" t="s">
        <v>403</v>
      </c>
      <c r="I29" s="6" t="s">
        <v>395</v>
      </c>
      <c r="J29" s="6" t="s">
        <v>404</v>
      </c>
      <c r="K29" s="6" t="s">
        <v>405</v>
      </c>
      <c r="L29" s="6" t="s">
        <v>406</v>
      </c>
      <c r="M29" s="6" t="s">
        <v>159</v>
      </c>
      <c r="N29" s="6" t="s">
        <v>270</v>
      </c>
      <c r="O29" s="6"/>
    </row>
    <row r="30" spans="2:15" ht="31.2" x14ac:dyDescent="0.4">
      <c r="B30" s="6" t="s">
        <v>241</v>
      </c>
      <c r="C30" s="6" t="s">
        <v>281</v>
      </c>
      <c r="D30" s="6" t="s">
        <v>407</v>
      </c>
      <c r="E30" s="6" t="s">
        <v>408</v>
      </c>
      <c r="F30" s="6" t="s">
        <v>409</v>
      </c>
      <c r="G30" s="6" t="s">
        <v>410</v>
      </c>
      <c r="H30" s="6" t="s">
        <v>411</v>
      </c>
      <c r="I30" s="6" t="s">
        <v>412</v>
      </c>
      <c r="J30" s="6" t="s">
        <v>413</v>
      </c>
      <c r="K30" s="6" t="s">
        <v>414</v>
      </c>
      <c r="L30" s="6" t="s">
        <v>415</v>
      </c>
      <c r="M30" s="6" t="s">
        <v>229</v>
      </c>
      <c r="N30" s="6" t="s">
        <v>200</v>
      </c>
      <c r="O30" s="6"/>
    </row>
    <row r="31" spans="2:15" ht="31.2" x14ac:dyDescent="0.4">
      <c r="B31" s="6" t="s">
        <v>148</v>
      </c>
      <c r="C31" s="6" t="s">
        <v>201</v>
      </c>
      <c r="D31" s="6" t="s">
        <v>416</v>
      </c>
      <c r="E31" s="6" t="s">
        <v>417</v>
      </c>
      <c r="F31" s="6" t="s">
        <v>418</v>
      </c>
      <c r="G31" s="6" t="s">
        <v>419</v>
      </c>
      <c r="H31" s="6" t="s">
        <v>420</v>
      </c>
      <c r="I31" s="6" t="s">
        <v>207</v>
      </c>
      <c r="J31" s="6" t="s">
        <v>421</v>
      </c>
      <c r="K31" s="6" t="s">
        <v>422</v>
      </c>
      <c r="L31" s="6" t="s">
        <v>423</v>
      </c>
      <c r="M31" s="6" t="s">
        <v>239</v>
      </c>
      <c r="N31" s="6" t="s">
        <v>424</v>
      </c>
      <c r="O31" s="6"/>
    </row>
    <row r="32" spans="2:15" ht="31.2" x14ac:dyDescent="0.4">
      <c r="B32" s="6" t="s">
        <v>241</v>
      </c>
      <c r="C32" s="6" t="s">
        <v>299</v>
      </c>
      <c r="D32" s="6" t="s">
        <v>425</v>
      </c>
      <c r="E32" s="6" t="s">
        <v>426</v>
      </c>
      <c r="F32" s="6" t="s">
        <v>427</v>
      </c>
      <c r="G32" s="6" t="s">
        <v>428</v>
      </c>
      <c r="H32" s="6" t="s">
        <v>429</v>
      </c>
      <c r="I32" s="6" t="s">
        <v>266</v>
      </c>
      <c r="J32" s="6" t="s">
        <v>430</v>
      </c>
      <c r="K32" s="6" t="s">
        <v>431</v>
      </c>
      <c r="L32" s="6" t="s">
        <v>432</v>
      </c>
      <c r="M32" s="6" t="s">
        <v>159</v>
      </c>
      <c r="N32" s="6" t="s">
        <v>433</v>
      </c>
      <c r="O32" s="6"/>
    </row>
    <row r="33" spans="2:15" ht="31.2" x14ac:dyDescent="0.4">
      <c r="B33" s="6" t="s">
        <v>148</v>
      </c>
      <c r="C33" s="6" t="s">
        <v>181</v>
      </c>
      <c r="D33" s="6" t="s">
        <v>434</v>
      </c>
      <c r="E33" s="6" t="s">
        <v>435</v>
      </c>
      <c r="F33" s="6" t="s">
        <v>436</v>
      </c>
      <c r="G33" s="6" t="s">
        <v>437</v>
      </c>
      <c r="H33" s="6" t="s">
        <v>438</v>
      </c>
      <c r="I33" s="6" t="s">
        <v>439</v>
      </c>
      <c r="J33" s="6" t="s">
        <v>197</v>
      </c>
      <c r="K33" s="6" t="s">
        <v>440</v>
      </c>
      <c r="L33" s="6" t="s">
        <v>441</v>
      </c>
      <c r="M33" s="6" t="s">
        <v>159</v>
      </c>
      <c r="N33" s="6" t="s">
        <v>270</v>
      </c>
      <c r="O33" s="6"/>
    </row>
    <row r="34" spans="2:15" ht="31.2" x14ac:dyDescent="0.4">
      <c r="B34" s="6" t="s">
        <v>148</v>
      </c>
      <c r="C34" s="6" t="s">
        <v>201</v>
      </c>
      <c r="D34" s="6" t="s">
        <v>442</v>
      </c>
      <c r="E34" s="6" t="s">
        <v>443</v>
      </c>
      <c r="F34" s="6" t="s">
        <v>444</v>
      </c>
      <c r="G34" s="6" t="s">
        <v>445</v>
      </c>
      <c r="H34" s="6" t="s">
        <v>446</v>
      </c>
      <c r="I34" s="6" t="s">
        <v>447</v>
      </c>
      <c r="J34" s="6" t="s">
        <v>448</v>
      </c>
      <c r="K34" s="6" t="s">
        <v>449</v>
      </c>
      <c r="L34" s="6" t="s">
        <v>450</v>
      </c>
      <c r="M34" s="6" t="s">
        <v>239</v>
      </c>
      <c r="N34" s="6" t="s">
        <v>451</v>
      </c>
      <c r="O34" s="6"/>
    </row>
    <row r="35" spans="2:15" ht="31.2" x14ac:dyDescent="0.4">
      <c r="B35" s="6" t="s">
        <v>345</v>
      </c>
      <c r="C35" s="6" t="s">
        <v>346</v>
      </c>
      <c r="D35" s="6" t="s">
        <v>452</v>
      </c>
      <c r="E35" s="6" t="s">
        <v>453</v>
      </c>
      <c r="F35" s="6" t="s">
        <v>454</v>
      </c>
      <c r="G35" s="6" t="s">
        <v>455</v>
      </c>
      <c r="H35" s="6" t="s">
        <v>456</v>
      </c>
      <c r="I35" s="6" t="s">
        <v>359</v>
      </c>
      <c r="J35" s="6" t="s">
        <v>457</v>
      </c>
      <c r="K35" s="6" t="s">
        <v>458</v>
      </c>
      <c r="L35" s="6" t="s">
        <v>459</v>
      </c>
      <c r="M35" s="6" t="s">
        <v>239</v>
      </c>
      <c r="N35" s="6" t="s">
        <v>363</v>
      </c>
      <c r="O35" s="6"/>
    </row>
    <row r="36" spans="2:15" ht="31.2" x14ac:dyDescent="0.4">
      <c r="B36" s="6" t="s">
        <v>345</v>
      </c>
      <c r="C36" s="6" t="s">
        <v>353</v>
      </c>
      <c r="D36" s="6" t="s">
        <v>460</v>
      </c>
      <c r="E36" s="6" t="s">
        <v>461</v>
      </c>
      <c r="F36" s="6" t="s">
        <v>462</v>
      </c>
      <c r="G36" s="6" t="s">
        <v>463</v>
      </c>
      <c r="H36" s="6" t="s">
        <v>358</v>
      </c>
      <c r="I36" s="6" t="s">
        <v>359</v>
      </c>
      <c r="J36" s="6" t="s">
        <v>464</v>
      </c>
      <c r="K36" s="6" t="s">
        <v>465</v>
      </c>
      <c r="L36" s="6" t="s">
        <v>466</v>
      </c>
      <c r="M36" s="6" t="s">
        <v>239</v>
      </c>
      <c r="N36" s="6" t="s">
        <v>200</v>
      </c>
      <c r="O36" s="6"/>
    </row>
    <row r="37" spans="2:15" ht="31.2" x14ac:dyDescent="0.4">
      <c r="B37" s="6" t="s">
        <v>241</v>
      </c>
      <c r="C37" s="6" t="s">
        <v>242</v>
      </c>
      <c r="D37" s="6" t="s">
        <v>467</v>
      </c>
      <c r="E37" s="6" t="s">
        <v>468</v>
      </c>
      <c r="F37" s="6" t="s">
        <v>469</v>
      </c>
      <c r="G37" s="6" t="s">
        <v>470</v>
      </c>
      <c r="H37" s="6" t="s">
        <v>471</v>
      </c>
      <c r="I37" s="6" t="s">
        <v>472</v>
      </c>
      <c r="J37" s="6" t="s">
        <v>473</v>
      </c>
      <c r="K37" s="6" t="s">
        <v>474</v>
      </c>
      <c r="L37" s="6" t="s">
        <v>475</v>
      </c>
      <c r="M37" s="6" t="s">
        <v>159</v>
      </c>
      <c r="N37" s="6" t="s">
        <v>476</v>
      </c>
      <c r="O37" s="6"/>
    </row>
    <row r="38" spans="2:15" ht="31.2" x14ac:dyDescent="0.4">
      <c r="B38" s="6" t="s">
        <v>148</v>
      </c>
      <c r="C38" s="6" t="s">
        <v>201</v>
      </c>
      <c r="D38" s="6" t="s">
        <v>477</v>
      </c>
      <c r="E38" s="6" t="s">
        <v>478</v>
      </c>
      <c r="F38" s="6" t="s">
        <v>479</v>
      </c>
      <c r="G38" s="6" t="s">
        <v>480</v>
      </c>
      <c r="H38" s="6" t="s">
        <v>331</v>
      </c>
      <c r="I38" s="6" t="s">
        <v>266</v>
      </c>
      <c r="J38" s="6" t="s">
        <v>481</v>
      </c>
      <c r="K38" s="6" t="s">
        <v>482</v>
      </c>
      <c r="L38" s="6" t="s">
        <v>483</v>
      </c>
      <c r="M38" s="6" t="s">
        <v>229</v>
      </c>
      <c r="N38" s="6" t="s">
        <v>240</v>
      </c>
      <c r="O38" s="6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84E9-6D17-418C-A0FB-5CCE6A6102E8}">
  <sheetPr>
    <tabColor theme="3" tint="0.749992370372631"/>
  </sheetPr>
  <dimension ref="A1:J37"/>
  <sheetViews>
    <sheetView topLeftCell="B1" zoomScale="70" zoomScaleNormal="70" workbookViewId="0">
      <selection activeCell="D2" sqref="D2"/>
    </sheetView>
  </sheetViews>
  <sheetFormatPr defaultColWidth="8.796875" defaultRowHeight="17.399999999999999" x14ac:dyDescent="0.4"/>
  <cols>
    <col min="1" max="1" width="14.69921875" style="15" customWidth="1"/>
    <col min="2" max="2" width="15.296875" style="4" customWidth="1"/>
    <col min="3" max="3" width="25.796875" style="4" customWidth="1"/>
    <col min="4" max="4" width="23.796875" style="4" customWidth="1"/>
    <col min="5" max="5" width="50.69921875" style="5" customWidth="1"/>
    <col min="6" max="6" width="60.69921875" style="5" customWidth="1"/>
    <col min="7" max="7" width="70.59765625" style="5" customWidth="1"/>
    <col min="8" max="8" width="13.8984375" style="5" customWidth="1"/>
    <col min="9" max="9" width="44.5" style="4" customWidth="1"/>
    <col min="10" max="10" width="16.69921875" style="4" customWidth="1"/>
  </cols>
  <sheetData>
    <row r="1" spans="1:10" ht="21" x14ac:dyDescent="0.4">
      <c r="A1" s="8"/>
      <c r="B1" s="1"/>
      <c r="C1" s="2"/>
      <c r="D1" s="2"/>
      <c r="E1" s="3"/>
      <c r="F1" s="3"/>
      <c r="G1" s="3"/>
      <c r="H1" s="3"/>
      <c r="I1" s="2"/>
      <c r="J1" s="2"/>
    </row>
    <row r="2" spans="1:10" s="10" customFormat="1" x14ac:dyDescent="0.4">
      <c r="A2" s="9"/>
      <c r="B2" s="10" t="s">
        <v>484</v>
      </c>
      <c r="D2" s="11"/>
    </row>
    <row r="3" spans="1:10" ht="21" x14ac:dyDescent="0.4">
      <c r="A3" s="8"/>
      <c r="B3" s="1"/>
      <c r="C3" s="2"/>
      <c r="D3" s="2"/>
      <c r="E3" s="3"/>
      <c r="F3" s="3"/>
      <c r="G3" s="3"/>
      <c r="H3" s="3"/>
      <c r="I3" s="2"/>
      <c r="J3" s="2"/>
    </row>
    <row r="4" spans="1:10" ht="21" x14ac:dyDescent="0.4">
      <c r="A4" s="8"/>
      <c r="B4" s="1" t="s">
        <v>485</v>
      </c>
      <c r="C4" s="2"/>
      <c r="D4" s="2"/>
      <c r="E4" s="3"/>
      <c r="F4" s="3"/>
      <c r="G4" s="3"/>
      <c r="H4" s="3"/>
      <c r="I4" s="2"/>
      <c r="J4" s="2"/>
    </row>
    <row r="5" spans="1:10" x14ac:dyDescent="0.4">
      <c r="A5" s="12" t="s">
        <v>636</v>
      </c>
      <c r="B5" s="12" t="s">
        <v>4</v>
      </c>
      <c r="C5" s="12" t="s">
        <v>5</v>
      </c>
      <c r="D5" s="12" t="s">
        <v>6</v>
      </c>
      <c r="E5" s="13" t="s">
        <v>7</v>
      </c>
      <c r="F5" s="14" t="s">
        <v>486</v>
      </c>
      <c r="G5" s="14" t="s">
        <v>487</v>
      </c>
      <c r="H5" s="13" t="s">
        <v>488</v>
      </c>
      <c r="I5" s="13" t="s">
        <v>489</v>
      </c>
      <c r="J5" s="13" t="s">
        <v>490</v>
      </c>
    </row>
    <row r="6" spans="1:10" ht="191.4" x14ac:dyDescent="0.4">
      <c r="A6" s="22">
        <v>1</v>
      </c>
      <c r="B6" s="23" t="s">
        <v>491</v>
      </c>
      <c r="C6" s="23" t="s">
        <v>492</v>
      </c>
      <c r="D6" s="24" t="s">
        <v>493</v>
      </c>
      <c r="E6" s="25" t="s">
        <v>494</v>
      </c>
      <c r="F6" s="26" t="s">
        <v>495</v>
      </c>
      <c r="G6" s="27" t="s">
        <v>496</v>
      </c>
      <c r="H6" s="28">
        <v>4</v>
      </c>
      <c r="I6" s="23"/>
      <c r="J6" s="23" t="s">
        <v>33</v>
      </c>
    </row>
    <row r="7" spans="1:10" ht="208.8" x14ac:dyDescent="0.4">
      <c r="A7" s="22">
        <f>A6+1</f>
        <v>2</v>
      </c>
      <c r="B7" s="23" t="s">
        <v>491</v>
      </c>
      <c r="C7" s="23" t="s">
        <v>492</v>
      </c>
      <c r="D7" s="24" t="s">
        <v>497</v>
      </c>
      <c r="E7" s="25" t="s">
        <v>498</v>
      </c>
      <c r="F7" s="26" t="s">
        <v>499</v>
      </c>
      <c r="G7" s="27" t="s">
        <v>500</v>
      </c>
      <c r="H7" s="28">
        <v>4</v>
      </c>
      <c r="I7" s="23" t="s">
        <v>501</v>
      </c>
      <c r="J7" s="23" t="s">
        <v>33</v>
      </c>
    </row>
    <row r="8" spans="1:10" ht="243.6" x14ac:dyDescent="0.4">
      <c r="A8" s="22">
        <f t="shared" ref="A8:A37" si="0">A7+1</f>
        <v>3</v>
      </c>
      <c r="B8" s="23" t="s">
        <v>491</v>
      </c>
      <c r="C8" s="24" t="s">
        <v>502</v>
      </c>
      <c r="D8" s="24" t="s">
        <v>503</v>
      </c>
      <c r="E8" s="25" t="s">
        <v>504</v>
      </c>
      <c r="F8" s="26" t="s">
        <v>505</v>
      </c>
      <c r="G8" s="27" t="s">
        <v>506</v>
      </c>
      <c r="H8" s="28">
        <v>4</v>
      </c>
      <c r="I8" s="23"/>
      <c r="J8" s="23" t="s">
        <v>33</v>
      </c>
    </row>
    <row r="9" spans="1:10" ht="104.4" x14ac:dyDescent="0.4">
      <c r="A9" s="22">
        <f t="shared" si="0"/>
        <v>4</v>
      </c>
      <c r="B9" s="23" t="s">
        <v>491</v>
      </c>
      <c r="C9" s="23" t="s">
        <v>507</v>
      </c>
      <c r="D9" s="29" t="s">
        <v>21</v>
      </c>
      <c r="E9" s="29" t="s">
        <v>508</v>
      </c>
      <c r="F9" s="30" t="s">
        <v>509</v>
      </c>
      <c r="G9" s="31" t="s">
        <v>510</v>
      </c>
      <c r="H9" s="28">
        <v>2</v>
      </c>
      <c r="I9" s="23" t="s">
        <v>511</v>
      </c>
      <c r="J9" s="23" t="s">
        <v>33</v>
      </c>
    </row>
    <row r="10" spans="1:10" ht="208.8" x14ac:dyDescent="0.4">
      <c r="A10" s="22">
        <f t="shared" si="0"/>
        <v>5</v>
      </c>
      <c r="B10" s="23" t="s">
        <v>491</v>
      </c>
      <c r="C10" s="23" t="s">
        <v>507</v>
      </c>
      <c r="D10" s="29" t="s">
        <v>512</v>
      </c>
      <c r="E10" s="29" t="s">
        <v>513</v>
      </c>
      <c r="F10" s="29" t="s">
        <v>514</v>
      </c>
      <c r="G10" s="29" t="s">
        <v>515</v>
      </c>
      <c r="H10" s="28">
        <v>2</v>
      </c>
      <c r="I10" s="23" t="s">
        <v>516</v>
      </c>
      <c r="J10" s="23" t="s">
        <v>33</v>
      </c>
    </row>
    <row r="11" spans="1:10" ht="226.2" x14ac:dyDescent="0.4">
      <c r="A11" s="22">
        <f t="shared" si="0"/>
        <v>6</v>
      </c>
      <c r="B11" s="23" t="s">
        <v>491</v>
      </c>
      <c r="C11" s="24" t="s">
        <v>517</v>
      </c>
      <c r="D11" s="24" t="s">
        <v>518</v>
      </c>
      <c r="E11" s="25" t="s">
        <v>519</v>
      </c>
      <c r="F11" s="27" t="s">
        <v>520</v>
      </c>
      <c r="G11" s="27" t="s">
        <v>521</v>
      </c>
      <c r="H11" s="28">
        <v>4</v>
      </c>
      <c r="I11" s="23"/>
      <c r="J11" s="23" t="s">
        <v>33</v>
      </c>
    </row>
    <row r="12" spans="1:10" ht="226.2" x14ac:dyDescent="0.4">
      <c r="A12" s="22">
        <f t="shared" si="0"/>
        <v>7</v>
      </c>
      <c r="B12" s="23" t="s">
        <v>522</v>
      </c>
      <c r="C12" s="23" t="s">
        <v>523</v>
      </c>
      <c r="D12" s="29" t="s">
        <v>19</v>
      </c>
      <c r="E12" s="23" t="s">
        <v>524</v>
      </c>
      <c r="F12" s="23" t="s">
        <v>525</v>
      </c>
      <c r="G12" s="23" t="s">
        <v>526</v>
      </c>
      <c r="H12" s="28">
        <v>2</v>
      </c>
      <c r="I12" s="23" t="s">
        <v>9</v>
      </c>
      <c r="J12" s="23" t="s">
        <v>32</v>
      </c>
    </row>
    <row r="13" spans="1:10" ht="191.4" x14ac:dyDescent="0.4">
      <c r="A13" s="22">
        <f t="shared" si="0"/>
        <v>8</v>
      </c>
      <c r="B13" s="23" t="s">
        <v>522</v>
      </c>
      <c r="C13" s="23" t="s">
        <v>523</v>
      </c>
      <c r="D13" s="24" t="s">
        <v>18</v>
      </c>
      <c r="E13" s="25" t="s">
        <v>0</v>
      </c>
      <c r="F13" s="26" t="s">
        <v>527</v>
      </c>
      <c r="G13" s="32" t="s">
        <v>528</v>
      </c>
      <c r="H13" s="28">
        <v>2</v>
      </c>
      <c r="I13" s="23" t="s">
        <v>8</v>
      </c>
      <c r="J13" s="23" t="s">
        <v>32</v>
      </c>
    </row>
    <row r="14" spans="1:10" ht="104.4" x14ac:dyDescent="0.4">
      <c r="A14" s="22">
        <f t="shared" si="0"/>
        <v>9</v>
      </c>
      <c r="B14" s="23" t="s">
        <v>522</v>
      </c>
      <c r="C14" s="23" t="s">
        <v>523</v>
      </c>
      <c r="D14" s="29" t="s">
        <v>529</v>
      </c>
      <c r="E14" s="23" t="s">
        <v>530</v>
      </c>
      <c r="F14" s="26" t="s">
        <v>531</v>
      </c>
      <c r="G14" s="31" t="s">
        <v>532</v>
      </c>
      <c r="H14" s="28">
        <v>2</v>
      </c>
      <c r="I14" s="23" t="s">
        <v>533</v>
      </c>
      <c r="J14" s="23" t="s">
        <v>32</v>
      </c>
    </row>
    <row r="15" spans="1:10" ht="87" x14ac:dyDescent="0.4">
      <c r="A15" s="22">
        <f t="shared" si="0"/>
        <v>10</v>
      </c>
      <c r="B15" s="23" t="s">
        <v>522</v>
      </c>
      <c r="C15" s="23" t="s">
        <v>534</v>
      </c>
      <c r="D15" s="29" t="s">
        <v>20</v>
      </c>
      <c r="E15" s="23" t="s">
        <v>535</v>
      </c>
      <c r="F15" s="23" t="s">
        <v>536</v>
      </c>
      <c r="G15" s="23" t="s">
        <v>537</v>
      </c>
      <c r="H15" s="28">
        <v>6</v>
      </c>
      <c r="I15" s="23" t="s">
        <v>9</v>
      </c>
      <c r="J15" s="23" t="s">
        <v>32</v>
      </c>
    </row>
    <row r="16" spans="1:10" ht="226.2" x14ac:dyDescent="0.4">
      <c r="A16" s="22">
        <f>A15+1</f>
        <v>11</v>
      </c>
      <c r="B16" s="23" t="s">
        <v>522</v>
      </c>
      <c r="C16" s="23" t="s">
        <v>538</v>
      </c>
      <c r="D16" s="33" t="s">
        <v>539</v>
      </c>
      <c r="E16" s="25" t="s">
        <v>540</v>
      </c>
      <c r="F16" s="26" t="s">
        <v>541</v>
      </c>
      <c r="G16" s="31" t="s">
        <v>542</v>
      </c>
      <c r="H16" s="28">
        <v>6</v>
      </c>
      <c r="I16" s="34" t="s">
        <v>10</v>
      </c>
      <c r="J16" s="23" t="s">
        <v>32</v>
      </c>
    </row>
    <row r="17" spans="1:10" ht="295.8" x14ac:dyDescent="0.4">
      <c r="A17" s="22">
        <f t="shared" si="0"/>
        <v>12</v>
      </c>
      <c r="B17" s="23" t="s">
        <v>522</v>
      </c>
      <c r="C17" s="23" t="s">
        <v>543</v>
      </c>
      <c r="D17" s="29" t="s">
        <v>544</v>
      </c>
      <c r="E17" s="23" t="s">
        <v>545</v>
      </c>
      <c r="F17" s="26" t="s">
        <v>546</v>
      </c>
      <c r="G17" s="31" t="s">
        <v>547</v>
      </c>
      <c r="H17" s="28">
        <v>6</v>
      </c>
      <c r="I17" s="23" t="s">
        <v>548</v>
      </c>
      <c r="J17" s="23" t="s">
        <v>33</v>
      </c>
    </row>
    <row r="18" spans="1:10" ht="278.39999999999998" x14ac:dyDescent="0.4">
      <c r="A18" s="22">
        <f t="shared" si="0"/>
        <v>13</v>
      </c>
      <c r="B18" s="23" t="s">
        <v>522</v>
      </c>
      <c r="C18" s="23" t="s">
        <v>549</v>
      </c>
      <c r="D18" s="33" t="s">
        <v>550</v>
      </c>
      <c r="E18" s="25" t="s">
        <v>551</v>
      </c>
      <c r="F18" s="26" t="s">
        <v>552</v>
      </c>
      <c r="G18" s="31" t="s">
        <v>553</v>
      </c>
      <c r="H18" s="28">
        <v>1</v>
      </c>
      <c r="I18" s="23" t="s">
        <v>554</v>
      </c>
      <c r="J18" s="23" t="s">
        <v>32</v>
      </c>
    </row>
    <row r="19" spans="1:10" ht="226.2" x14ac:dyDescent="0.4">
      <c r="A19" s="22">
        <f t="shared" si="0"/>
        <v>14</v>
      </c>
      <c r="B19" s="23" t="s">
        <v>522</v>
      </c>
      <c r="C19" s="23" t="s">
        <v>549</v>
      </c>
      <c r="D19" s="33" t="s">
        <v>27</v>
      </c>
      <c r="E19" s="25" t="s">
        <v>2</v>
      </c>
      <c r="F19" s="25" t="s">
        <v>555</v>
      </c>
      <c r="G19" s="25" t="s">
        <v>556</v>
      </c>
      <c r="H19" s="28">
        <v>1</v>
      </c>
      <c r="I19" s="34"/>
      <c r="J19" s="23" t="s">
        <v>32</v>
      </c>
    </row>
    <row r="20" spans="1:10" ht="313.2" x14ac:dyDescent="0.4">
      <c r="A20" s="22">
        <f t="shared" si="0"/>
        <v>15</v>
      </c>
      <c r="B20" s="23" t="s">
        <v>522</v>
      </c>
      <c r="C20" s="23" t="s">
        <v>549</v>
      </c>
      <c r="D20" s="29" t="s">
        <v>25</v>
      </c>
      <c r="E20" s="23" t="s">
        <v>557</v>
      </c>
      <c r="F20" s="23" t="s">
        <v>558</v>
      </c>
      <c r="G20" s="23" t="s">
        <v>559</v>
      </c>
      <c r="H20" s="28">
        <v>1</v>
      </c>
      <c r="I20" s="23" t="s">
        <v>17</v>
      </c>
      <c r="J20" s="23" t="s">
        <v>32</v>
      </c>
    </row>
    <row r="21" spans="1:10" ht="226.2" x14ac:dyDescent="0.4">
      <c r="A21" s="22">
        <f t="shared" si="0"/>
        <v>16</v>
      </c>
      <c r="B21" s="23" t="s">
        <v>522</v>
      </c>
      <c r="C21" s="23" t="s">
        <v>549</v>
      </c>
      <c r="D21" s="33" t="s">
        <v>560</v>
      </c>
      <c r="E21" s="25" t="s">
        <v>1</v>
      </c>
      <c r="F21" s="25" t="s">
        <v>561</v>
      </c>
      <c r="G21" s="25" t="s">
        <v>562</v>
      </c>
      <c r="H21" s="28">
        <v>1</v>
      </c>
      <c r="I21" s="34" t="s">
        <v>14</v>
      </c>
      <c r="J21" s="23" t="s">
        <v>33</v>
      </c>
    </row>
    <row r="22" spans="1:10" ht="330.6" x14ac:dyDescent="0.4">
      <c r="A22" s="22">
        <f t="shared" si="0"/>
        <v>17</v>
      </c>
      <c r="B22" s="23" t="s">
        <v>522</v>
      </c>
      <c r="C22" s="23" t="s">
        <v>549</v>
      </c>
      <c r="D22" s="29" t="s">
        <v>23</v>
      </c>
      <c r="E22" s="23" t="s">
        <v>563</v>
      </c>
      <c r="F22" s="23" t="s">
        <v>564</v>
      </c>
      <c r="G22" s="23" t="s">
        <v>565</v>
      </c>
      <c r="H22" s="28">
        <v>2</v>
      </c>
      <c r="I22" s="23" t="s">
        <v>12</v>
      </c>
      <c r="J22" s="23" t="s">
        <v>33</v>
      </c>
    </row>
    <row r="23" spans="1:10" ht="226.2" x14ac:dyDescent="0.4">
      <c r="A23" s="22">
        <f t="shared" si="0"/>
        <v>18</v>
      </c>
      <c r="B23" s="23" t="s">
        <v>566</v>
      </c>
      <c r="C23" s="23" t="s">
        <v>567</v>
      </c>
      <c r="D23" s="29" t="s">
        <v>24</v>
      </c>
      <c r="E23" s="23" t="s">
        <v>568</v>
      </c>
      <c r="F23" s="23" t="s">
        <v>569</v>
      </c>
      <c r="G23" s="23" t="s">
        <v>570</v>
      </c>
      <c r="H23" s="28">
        <v>6</v>
      </c>
      <c r="I23" s="23" t="s">
        <v>13</v>
      </c>
      <c r="J23" s="23" t="s">
        <v>33</v>
      </c>
    </row>
    <row r="24" spans="1:10" ht="330.6" x14ac:dyDescent="0.4">
      <c r="A24" s="22">
        <f t="shared" si="0"/>
        <v>19</v>
      </c>
      <c r="B24" s="23" t="s">
        <v>566</v>
      </c>
      <c r="C24" s="24" t="s">
        <v>571</v>
      </c>
      <c r="D24" s="24" t="s">
        <v>572</v>
      </c>
      <c r="E24" s="25" t="s">
        <v>573</v>
      </c>
      <c r="F24" s="27" t="s">
        <v>574</v>
      </c>
      <c r="G24" s="27" t="s">
        <v>575</v>
      </c>
      <c r="H24" s="28">
        <v>6</v>
      </c>
      <c r="I24" s="23"/>
      <c r="J24" s="23" t="s">
        <v>33</v>
      </c>
    </row>
    <row r="25" spans="1:10" ht="208.8" x14ac:dyDescent="0.4">
      <c r="A25" s="22">
        <f t="shared" si="0"/>
        <v>20</v>
      </c>
      <c r="B25" s="23" t="s">
        <v>566</v>
      </c>
      <c r="C25" s="23" t="s">
        <v>576</v>
      </c>
      <c r="D25" s="24" t="s">
        <v>577</v>
      </c>
      <c r="E25" s="25" t="s">
        <v>578</v>
      </c>
      <c r="F25" s="27" t="s">
        <v>579</v>
      </c>
      <c r="G25" s="27" t="s">
        <v>580</v>
      </c>
      <c r="H25" s="28">
        <v>4</v>
      </c>
      <c r="I25" s="23"/>
      <c r="J25" s="23" t="s">
        <v>33</v>
      </c>
    </row>
    <row r="26" spans="1:10" ht="121.8" x14ac:dyDescent="0.4">
      <c r="A26" s="22">
        <f>A25+1</f>
        <v>21</v>
      </c>
      <c r="B26" s="23" t="s">
        <v>566</v>
      </c>
      <c r="C26" s="23" t="s">
        <v>576</v>
      </c>
      <c r="D26" s="24" t="s">
        <v>581</v>
      </c>
      <c r="E26" s="25" t="s">
        <v>582</v>
      </c>
      <c r="F26" s="27" t="s">
        <v>583</v>
      </c>
      <c r="G26" s="27" t="s">
        <v>584</v>
      </c>
      <c r="H26" s="28">
        <v>4</v>
      </c>
      <c r="I26" s="23"/>
      <c r="J26" s="23" t="s">
        <v>33</v>
      </c>
    </row>
    <row r="27" spans="1:10" ht="174" x14ac:dyDescent="0.4">
      <c r="A27" s="22">
        <f t="shared" si="0"/>
        <v>22</v>
      </c>
      <c r="B27" s="23" t="s">
        <v>585</v>
      </c>
      <c r="C27" s="23" t="s">
        <v>586</v>
      </c>
      <c r="D27" s="33" t="s">
        <v>587</v>
      </c>
      <c r="E27" s="25" t="s">
        <v>588</v>
      </c>
      <c r="F27" s="25" t="s">
        <v>589</v>
      </c>
      <c r="G27" s="25" t="s">
        <v>590</v>
      </c>
      <c r="H27" s="35">
        <v>2</v>
      </c>
      <c r="I27" s="23"/>
      <c r="J27" s="23" t="s">
        <v>32</v>
      </c>
    </row>
    <row r="28" spans="1:10" ht="104.4" x14ac:dyDescent="0.4">
      <c r="A28" s="22">
        <f t="shared" si="0"/>
        <v>23</v>
      </c>
      <c r="B28" s="23" t="s">
        <v>585</v>
      </c>
      <c r="C28" s="23" t="s">
        <v>586</v>
      </c>
      <c r="D28" s="29" t="s">
        <v>29</v>
      </c>
      <c r="E28" s="23" t="s">
        <v>591</v>
      </c>
      <c r="F28" s="23" t="s">
        <v>592</v>
      </c>
      <c r="G28" s="23" t="s">
        <v>593</v>
      </c>
      <c r="H28" s="35">
        <v>2</v>
      </c>
      <c r="I28" s="23" t="s">
        <v>15</v>
      </c>
      <c r="J28" s="23" t="s">
        <v>32</v>
      </c>
    </row>
    <row r="29" spans="1:10" ht="121.8" x14ac:dyDescent="0.4">
      <c r="A29" s="22">
        <f t="shared" si="0"/>
        <v>24</v>
      </c>
      <c r="B29" s="23" t="s">
        <v>585</v>
      </c>
      <c r="C29" s="23" t="s">
        <v>586</v>
      </c>
      <c r="D29" s="29" t="s">
        <v>31</v>
      </c>
      <c r="E29" s="23" t="s">
        <v>594</v>
      </c>
      <c r="F29" s="23" t="s">
        <v>595</v>
      </c>
      <c r="G29" s="23" t="s">
        <v>596</v>
      </c>
      <c r="H29" s="35">
        <v>2</v>
      </c>
      <c r="I29" s="23" t="s">
        <v>12</v>
      </c>
      <c r="J29" s="23" t="s">
        <v>33</v>
      </c>
    </row>
    <row r="30" spans="1:10" ht="104.4" x14ac:dyDescent="0.4">
      <c r="A30" s="22">
        <f t="shared" si="0"/>
        <v>25</v>
      </c>
      <c r="B30" s="23" t="s">
        <v>585</v>
      </c>
      <c r="C30" s="23" t="s">
        <v>586</v>
      </c>
      <c r="D30" s="29" t="s">
        <v>28</v>
      </c>
      <c r="E30" s="23" t="s">
        <v>597</v>
      </c>
      <c r="F30" s="23" t="s">
        <v>598</v>
      </c>
      <c r="G30" s="23" t="s">
        <v>599</v>
      </c>
      <c r="H30" s="35">
        <v>2</v>
      </c>
      <c r="I30" s="23" t="s">
        <v>15</v>
      </c>
      <c r="J30" s="23" t="s">
        <v>32</v>
      </c>
    </row>
    <row r="31" spans="1:10" ht="208.8" x14ac:dyDescent="0.4">
      <c r="A31" s="22">
        <f t="shared" si="0"/>
        <v>26</v>
      </c>
      <c r="B31" s="23" t="s">
        <v>585</v>
      </c>
      <c r="C31" s="23" t="s">
        <v>586</v>
      </c>
      <c r="D31" s="29" t="s">
        <v>600</v>
      </c>
      <c r="E31" s="29" t="s">
        <v>34</v>
      </c>
      <c r="F31" s="23" t="s">
        <v>601</v>
      </c>
      <c r="G31" s="23" t="s">
        <v>602</v>
      </c>
      <c r="H31" s="28">
        <v>2</v>
      </c>
      <c r="I31" s="23" t="s">
        <v>17</v>
      </c>
      <c r="J31" s="23" t="s">
        <v>33</v>
      </c>
    </row>
    <row r="32" spans="1:10" ht="104.4" x14ac:dyDescent="0.4">
      <c r="A32" s="22">
        <f t="shared" si="0"/>
        <v>27</v>
      </c>
      <c r="B32" s="23" t="s">
        <v>585</v>
      </c>
      <c r="C32" s="24" t="s">
        <v>603</v>
      </c>
      <c r="D32" s="24" t="s">
        <v>604</v>
      </c>
      <c r="E32" s="25" t="s">
        <v>605</v>
      </c>
      <c r="F32" s="27" t="s">
        <v>606</v>
      </c>
      <c r="G32" s="27" t="s">
        <v>607</v>
      </c>
      <c r="H32" s="35">
        <v>8</v>
      </c>
      <c r="I32" s="23"/>
      <c r="J32" s="23" t="s">
        <v>32</v>
      </c>
    </row>
    <row r="33" spans="1:10" ht="156.6" x14ac:dyDescent="0.4">
      <c r="A33" s="22">
        <f t="shared" si="0"/>
        <v>28</v>
      </c>
      <c r="B33" s="23" t="s">
        <v>585</v>
      </c>
      <c r="C33" s="24" t="s">
        <v>608</v>
      </c>
      <c r="D33" s="24" t="s">
        <v>609</v>
      </c>
      <c r="E33" s="25" t="s">
        <v>610</v>
      </c>
      <c r="F33" s="25" t="s">
        <v>611</v>
      </c>
      <c r="G33" s="25" t="s">
        <v>612</v>
      </c>
      <c r="H33" s="35">
        <v>3</v>
      </c>
      <c r="I33" s="23"/>
      <c r="J33" s="23" t="s">
        <v>33</v>
      </c>
    </row>
    <row r="34" spans="1:10" ht="243.6" x14ac:dyDescent="0.4">
      <c r="A34" s="22">
        <f t="shared" si="0"/>
        <v>29</v>
      </c>
      <c r="B34" s="23" t="s">
        <v>585</v>
      </c>
      <c r="C34" s="23" t="s">
        <v>608</v>
      </c>
      <c r="D34" s="33" t="s">
        <v>26</v>
      </c>
      <c r="E34" s="25" t="s">
        <v>613</v>
      </c>
      <c r="F34" s="25" t="s">
        <v>611</v>
      </c>
      <c r="G34" s="25" t="s">
        <v>614</v>
      </c>
      <c r="H34" s="35">
        <v>3</v>
      </c>
      <c r="I34" s="23"/>
      <c r="J34" s="23" t="s">
        <v>33</v>
      </c>
    </row>
    <row r="35" spans="1:10" ht="121.8" x14ac:dyDescent="0.4">
      <c r="A35" s="22">
        <f t="shared" si="0"/>
        <v>30</v>
      </c>
      <c r="B35" s="23" t="s">
        <v>585</v>
      </c>
      <c r="C35" s="23" t="s">
        <v>615</v>
      </c>
      <c r="D35" s="29" t="s">
        <v>22</v>
      </c>
      <c r="E35" s="23" t="s">
        <v>616</v>
      </c>
      <c r="F35" s="23" t="s">
        <v>617</v>
      </c>
      <c r="G35" s="23" t="s">
        <v>618</v>
      </c>
      <c r="H35" s="35">
        <v>2</v>
      </c>
      <c r="I35" s="23" t="s">
        <v>11</v>
      </c>
      <c r="J35" s="23" t="s">
        <v>33</v>
      </c>
    </row>
    <row r="36" spans="1:10" ht="104.4" x14ac:dyDescent="0.4">
      <c r="A36" s="22">
        <f t="shared" si="0"/>
        <v>31</v>
      </c>
      <c r="B36" s="23" t="s">
        <v>585</v>
      </c>
      <c r="C36" s="23" t="s">
        <v>615</v>
      </c>
      <c r="D36" s="29" t="s">
        <v>30</v>
      </c>
      <c r="E36" s="23" t="s">
        <v>619</v>
      </c>
      <c r="F36" s="23" t="s">
        <v>592</v>
      </c>
      <c r="G36" s="23" t="s">
        <v>593</v>
      </c>
      <c r="H36" s="35">
        <v>2</v>
      </c>
      <c r="I36" s="23" t="s">
        <v>15</v>
      </c>
      <c r="J36" s="23" t="s">
        <v>32</v>
      </c>
    </row>
    <row r="37" spans="1:10" ht="174" x14ac:dyDescent="0.4">
      <c r="A37" s="22">
        <f t="shared" si="0"/>
        <v>32</v>
      </c>
      <c r="B37" s="23" t="s">
        <v>585</v>
      </c>
      <c r="C37" s="23" t="s">
        <v>615</v>
      </c>
      <c r="D37" s="24" t="s">
        <v>620</v>
      </c>
      <c r="E37" s="25" t="s">
        <v>3</v>
      </c>
      <c r="F37" s="25" t="s">
        <v>621</v>
      </c>
      <c r="G37" s="25" t="s">
        <v>622</v>
      </c>
      <c r="H37" s="35">
        <v>2</v>
      </c>
      <c r="I37" s="34" t="s">
        <v>16</v>
      </c>
      <c r="J37" s="23" t="s">
        <v>33</v>
      </c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B971F96850C604FA9DD4A6FAA1D7E94" ma:contentTypeVersion="11" ma:contentTypeDescription="새 문서를 만듭니다." ma:contentTypeScope="" ma:versionID="a185cea0baeaa08cace236fb6fd1ebef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46a0fe0a5856e7b3d34195bf7e8182f7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4e75e4-fe8a-42ea-8266-b68b6e213225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1C5C27-D0E4-4B99-927A-7A1261D27F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1013463-FD21-4835-B71B-C50BD99091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C2A5F0-2CD0-451A-89A8-C8D17DF09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표지</vt:lpstr>
      <vt:lpstr>제개정이력</vt:lpstr>
      <vt:lpstr>A. 품질목표,KPI</vt:lpstr>
      <vt:lpstr>(참조) KPI&amp;위험 매핑</vt:lpstr>
      <vt:lpstr>B. KPI별 운영목표 </vt:lpstr>
      <vt:lpstr>(참조) 지표설정 참조</vt:lpstr>
      <vt:lpstr>(챰조) AI안전성 위험 식별</vt:lpstr>
      <vt:lpstr>(참조) AI 안정성 위험</vt:lpstr>
      <vt:lpstr>표지!Print_Area</vt:lpstr>
      <vt:lpstr>문서명</vt:lpstr>
      <vt:lpstr>프로젝트명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Keunjae Ryoo</dc:creator>
  <cp:lastModifiedBy>Jong-Min La</cp:lastModifiedBy>
  <dcterms:created xsi:type="dcterms:W3CDTF">2025-09-09T06:07:41Z</dcterms:created>
  <dcterms:modified xsi:type="dcterms:W3CDTF">2026-02-24T01:43:27Z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0x010100EB971F96850C604FA9DD4A6FAA1D7E94</vt:lpwstr>
  </property>
</Properties>
</file>