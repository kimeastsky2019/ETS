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T964FN\Downloads\"/>
    </mc:Choice>
  </mc:AlternateContent>
  <xr:revisionPtr revIDLastSave="0" documentId="13_ncr:1_{1D49E7CC-3A9D-4D62-ACE4-DA9590804064}" xr6:coauthVersionLast="47" xr6:coauthVersionMax="47" xr10:uidLastSave="{00000000-0000-0000-0000-000000000000}"/>
  <bookViews>
    <workbookView xWindow="-28575" yWindow="0" windowWidth="21870" windowHeight="15585" xr2:uid="{00000000-000D-0000-FFFF-FFFF00000000}"/>
  </bookViews>
  <sheets>
    <sheet name="위험-평가방안-완화방안 맵핑" sheetId="1" r:id="rId1"/>
    <sheet name="1. AI위험 식별" sheetId="3" state="hidden" r:id="rId2"/>
    <sheet name="2. AI위험 완화 방안 수립" sheetId="4" state="hidden" r:id="rId3"/>
    <sheet name="3. 잔여 AI 위험 평가" sheetId="5" state="hidden" r:id="rId4"/>
    <sheet name="0. 위험평가 결과 요약" sheetId="6" state="hidden" r:id="rId5"/>
  </sheets>
  <definedNames>
    <definedName name="_xlnm._FilterDatabase" localSheetId="0">'위험-평가방안-완화방안 맵핑'!$B$4:$K$4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문서명">#REF!</definedName>
    <definedName name="프로젝트명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6" l="1"/>
  <c r="D24" i="6"/>
  <c r="E23" i="6"/>
  <c r="D23" i="6"/>
  <c r="D22" i="6"/>
  <c r="D20" i="6"/>
  <c r="E19" i="6"/>
  <c r="D19" i="6"/>
  <c r="D18" i="6"/>
  <c r="D16" i="6"/>
  <c r="D15" i="6"/>
  <c r="D14" i="6"/>
  <c r="D13" i="6"/>
  <c r="D12" i="6"/>
  <c r="D17" i="6" s="1"/>
  <c r="D10" i="6"/>
  <c r="D9" i="6"/>
  <c r="D8" i="6"/>
  <c r="D7" i="6"/>
  <c r="C3" i="6"/>
  <c r="S38" i="5" a="1"/>
  <c r="S38" i="5" s="1"/>
  <c r="S37" i="5" a="1"/>
  <c r="S37" i="5" s="1"/>
  <c r="S36" i="5" a="1"/>
  <c r="S36" i="5" s="1"/>
  <c r="S35" i="5" a="1"/>
  <c r="S35" i="5" s="1"/>
  <c r="S34" i="5" a="1"/>
  <c r="S34" i="5" s="1"/>
  <c r="S33" i="5" a="1"/>
  <c r="S33" i="5" s="1"/>
  <c r="S32" i="5" a="1"/>
  <c r="S32" i="5" s="1"/>
  <c r="S31" i="5" a="1"/>
  <c r="S31" i="5" s="1"/>
  <c r="S30" i="5" a="1"/>
  <c r="S30" i="5" s="1"/>
  <c r="S29" i="5" a="1"/>
  <c r="S29" i="5" s="1"/>
  <c r="S28" i="5" a="1"/>
  <c r="S28" i="5" s="1"/>
  <c r="S27" i="5" a="1"/>
  <c r="S27" i="5" s="1"/>
  <c r="S26" i="5" a="1"/>
  <c r="S26" i="5" s="1"/>
  <c r="S25" i="5" a="1"/>
  <c r="S25" i="5" s="1"/>
  <c r="S24" i="5" a="1"/>
  <c r="S24" i="5" s="1"/>
  <c r="S23" i="5" a="1"/>
  <c r="S23" i="5" s="1"/>
  <c r="S22" i="5" a="1"/>
  <c r="S22" i="5" s="1"/>
  <c r="S21" i="5" a="1"/>
  <c r="S21" i="5" s="1"/>
  <c r="S20" i="5" a="1"/>
  <c r="S20" i="5" s="1"/>
  <c r="S19" i="5" a="1"/>
  <c r="S19" i="5" s="1"/>
  <c r="S18" i="5" a="1"/>
  <c r="S18" i="5"/>
  <c r="S17" i="5" a="1"/>
  <c r="S17" i="5" s="1"/>
  <c r="S16" i="5" a="1"/>
  <c r="S16" i="5" s="1"/>
  <c r="S15" i="5" a="1"/>
  <c r="S15" i="5" s="1"/>
  <c r="S14" i="5" a="1"/>
  <c r="S14" i="5" s="1"/>
  <c r="S13" i="5" a="1"/>
  <c r="S13" i="5" s="1"/>
  <c r="S12" i="5" a="1"/>
  <c r="S12" i="5" s="1"/>
  <c r="S11" i="5" a="1"/>
  <c r="S11" i="5" s="1"/>
  <c r="S10" i="5" a="1"/>
  <c r="S10" i="5" s="1"/>
  <c r="S9" i="5" a="1"/>
  <c r="S9" i="5" s="1"/>
  <c r="S8" i="5" a="1"/>
  <c r="S8" i="5" s="1"/>
  <c r="S7" i="5" a="1"/>
  <c r="S7" i="5" s="1"/>
  <c r="O40" i="3"/>
  <c r="F40" i="3"/>
  <c r="N38" i="6" a="1"/>
  <c r="N30" i="6" a="1"/>
  <c r="N22" i="6" a="1"/>
  <c r="N14" i="6" a="1"/>
  <c r="C4" i="6" a="1"/>
  <c r="G31" i="5" a="1"/>
  <c r="G23" i="5" a="1"/>
  <c r="M32" i="6" a="1"/>
  <c r="K24" i="6" a="1"/>
  <c r="K16" i="6" a="1"/>
  <c r="K8" i="6" a="1"/>
  <c r="H32" i="5" a="1"/>
  <c r="H24" i="5" a="1"/>
  <c r="H16" i="5" a="1"/>
  <c r="H8" i="5" a="1"/>
  <c r="L34" i="6" a="1"/>
  <c r="L26" i="6" a="1"/>
  <c r="L18" i="6" a="1"/>
  <c r="L10" i="6" a="1"/>
  <c r="G34" i="5" a="1"/>
  <c r="G26" i="5" a="1"/>
  <c r="N7" i="6" a="1"/>
  <c r="F24" i="5" a="1"/>
  <c r="F10" i="5" a="1"/>
  <c r="H28" i="3" a="1"/>
  <c r="K37" i="6" a="1"/>
  <c r="N11" i="6" a="1"/>
  <c r="L12" i="5" a="1"/>
  <c r="H27" i="3" a="1"/>
  <c r="K26" i="6" a="1"/>
  <c r="F30" i="5" a="1"/>
  <c r="L18" i="5" a="1"/>
  <c r="H35" i="4" a="1"/>
  <c r="H27" i="4" a="1"/>
  <c r="H19" i="4" a="1"/>
  <c r="H11" i="4" a="1"/>
  <c r="H29" i="3" a="1"/>
  <c r="K31" i="6" a="1"/>
  <c r="H12" i="3" a="1"/>
  <c r="P20" i="3" a="1"/>
  <c r="F9" i="4" a="1"/>
  <c r="F12" i="4" a="1"/>
  <c r="F33" i="4" a="1"/>
  <c r="P16" i="3" a="1"/>
  <c r="F27" i="4" a="1"/>
  <c r="P7" i="3" a="1"/>
  <c r="F25" i="4" a="1"/>
  <c r="F22" i="4" a="1"/>
  <c r="P26" i="3" a="1"/>
  <c r="M15" i="6" a="1"/>
  <c r="M33" i="6" a="1"/>
  <c r="F25" i="5" a="1"/>
  <c r="K11" i="6" a="1"/>
  <c r="P37" i="3" a="1"/>
  <c r="H19" i="5" a="1"/>
  <c r="M8" i="6" a="1"/>
  <c r="P22" i="3" a="1"/>
  <c r="N37" i="6" a="1"/>
  <c r="N29" i="6" a="1"/>
  <c r="K21" i="6" a="1"/>
  <c r="K13" i="6" a="1"/>
  <c r="L38" i="5" a="1"/>
  <c r="L30" i="5" a="1"/>
  <c r="L22" i="5" a="1"/>
  <c r="M31" i="6" a="1"/>
  <c r="L23" i="6" a="1"/>
  <c r="L15" i="6" a="1"/>
  <c r="L7" i="6" a="1"/>
  <c r="F31" i="5" a="1"/>
  <c r="F23" i="5" a="1"/>
  <c r="F15" i="5" a="1"/>
  <c r="F7" i="5" a="1"/>
  <c r="L33" i="6" a="1"/>
  <c r="M25" i="6" a="1"/>
  <c r="M17" i="6" a="1"/>
  <c r="M9" i="6" a="1"/>
  <c r="L33" i="5" a="1"/>
  <c r="L25" i="5" a="1"/>
  <c r="H37" i="5" a="1"/>
  <c r="L21" i="5" a="1"/>
  <c r="G9" i="5" a="1"/>
  <c r="H24" i="3" a="1"/>
  <c r="K29" i="6" a="1"/>
  <c r="H21" i="5" a="1"/>
  <c r="L11" i="5" a="1"/>
  <c r="H23" i="3" a="1"/>
  <c r="K22" i="6" a="1"/>
  <c r="H27" i="5" a="1"/>
  <c r="L17" i="5" a="1"/>
  <c r="H34" i="4" a="1"/>
  <c r="H26" i="4" a="1"/>
  <c r="H18" i="4" a="1"/>
  <c r="H10" i="4" a="1"/>
  <c r="H25" i="3" a="1"/>
  <c r="M24" i="6" a="1"/>
  <c r="H8" i="3" a="1"/>
  <c r="P9" i="3" a="1"/>
  <c r="L15" i="5" a="1"/>
  <c r="F8" i="4" a="1"/>
  <c r="K10" i="6" a="1"/>
  <c r="F29" i="4" a="1"/>
  <c r="F23" i="4" a="1"/>
  <c r="P28" i="3" a="1"/>
  <c r="P15" i="3" a="1"/>
  <c r="F18" i="4" a="1"/>
  <c r="L32" i="5" a="1"/>
  <c r="F9" i="5" a="1"/>
  <c r="M12" i="6" a="1"/>
  <c r="K28" i="6" a="1"/>
  <c r="L9" i="5" a="1"/>
  <c r="H16" i="3" a="1"/>
  <c r="N36" i="6" a="1"/>
  <c r="N28" i="6" a="1"/>
  <c r="L20" i="6" a="1"/>
  <c r="L12" i="6" a="1"/>
  <c r="G37" i="5" a="1"/>
  <c r="G29" i="5" a="1"/>
  <c r="M38" i="6" a="1"/>
  <c r="M30" i="6" a="1"/>
  <c r="M22" i="6" a="1"/>
  <c r="M14" i="6" a="1"/>
  <c r="H38" i="5" a="1"/>
  <c r="H30" i="5" a="1"/>
  <c r="H22" i="5" a="1"/>
  <c r="H14" i="5" a="1"/>
  <c r="F37" i="4" a="1"/>
  <c r="L32" i="6" a="1"/>
  <c r="N24" i="6" a="1"/>
  <c r="N16" i="6" a="1"/>
  <c r="N8" i="6" a="1"/>
  <c r="G32" i="5" a="1"/>
  <c r="G24" i="5" a="1"/>
  <c r="F36" i="5" a="1"/>
  <c r="F18" i="5" a="1"/>
  <c r="G8" i="5" a="1"/>
  <c r="H22" i="3" a="1"/>
  <c r="N23" i="6" a="1"/>
  <c r="L20" i="5" a="1"/>
  <c r="F8" i="5" a="1"/>
  <c r="H21" i="3" a="1"/>
  <c r="K18" i="6" a="1"/>
  <c r="F26" i="5" a="1"/>
  <c r="F14" i="5" a="1"/>
  <c r="H33" i="4" a="1"/>
  <c r="H25" i="4" a="1"/>
  <c r="H17" i="4" a="1"/>
  <c r="H9" i="4" a="1"/>
  <c r="H19" i="3" a="1"/>
  <c r="M20" i="6" a="1"/>
  <c r="G7" i="5" a="1"/>
  <c r="P14" i="3" a="1"/>
  <c r="H36" i="4" a="1"/>
  <c r="P36" i="3" a="1"/>
  <c r="G11" i="5" a="1"/>
  <c r="P31" i="3" a="1"/>
  <c r="F19" i="4" a="1"/>
  <c r="P17" i="3" a="1"/>
  <c r="H17" i="5" a="1"/>
  <c r="F14" i="4" a="1"/>
  <c r="M23" i="6" a="1"/>
  <c r="N17" i="6" a="1"/>
  <c r="L35" i="6" a="1"/>
  <c r="L27" i="5" a="1"/>
  <c r="H31" i="3" a="1"/>
  <c r="L13" i="6" a="1"/>
  <c r="F26" i="4" a="1"/>
  <c r="N35" i="6" a="1"/>
  <c r="N27" i="6" a="1"/>
  <c r="M19" i="6" a="1"/>
  <c r="M11" i="6" a="1"/>
  <c r="L36" i="5" a="1"/>
  <c r="L28" i="5" a="1"/>
  <c r="M37" i="6" a="1"/>
  <c r="M29" i="6" a="1"/>
  <c r="N21" i="6" a="1"/>
  <c r="N13" i="6" a="1"/>
  <c r="F37" i="5" a="1"/>
  <c r="F29" i="5" a="1"/>
  <c r="F21" i="5" a="1"/>
  <c r="F13" i="5" a="1"/>
  <c r="F36" i="4" a="1"/>
  <c r="L31" i="6" a="1"/>
  <c r="K23" i="6" a="1"/>
  <c r="K15" i="6" a="1"/>
  <c r="K7" i="6" a="1"/>
  <c r="L31" i="5" a="1"/>
  <c r="L23" i="5" a="1"/>
  <c r="H33" i="5" a="1"/>
  <c r="G17" i="5" a="1"/>
  <c r="H7" i="5" a="1"/>
  <c r="H18" i="3" a="1"/>
  <c r="N19" i="6" a="1"/>
  <c r="L19" i="5" a="1"/>
  <c r="P33" i="3" a="1"/>
  <c r="H17" i="3" a="1"/>
  <c r="K14" i="6" a="1"/>
  <c r="H23" i="5" a="1"/>
  <c r="G13" i="5" a="1"/>
  <c r="H32" i="4" a="1"/>
  <c r="H24" i="4" a="1"/>
  <c r="H16" i="4" a="1"/>
  <c r="H8" i="4" a="1"/>
  <c r="H15" i="3" a="1"/>
  <c r="M16" i="6" a="1"/>
  <c r="K32" i="6" a="1"/>
  <c r="P12" i="3" a="1"/>
  <c r="F32" i="4" a="1"/>
  <c r="P30" i="3" a="1"/>
  <c r="P35" i="3" a="1"/>
  <c r="L17" i="6" a="1"/>
  <c r="F15" i="4" a="1"/>
  <c r="P21" i="3" a="1"/>
  <c r="G10" i="5" a="1"/>
  <c r="F10" i="4" a="1"/>
  <c r="F6" i="4" a="1"/>
  <c r="F33" i="5" a="1"/>
  <c r="L35" i="5" a="1"/>
  <c r="K34" i="6" a="1"/>
  <c r="H12" i="4" a="1"/>
  <c r="F16" i="4" a="1"/>
  <c r="P27" i="3" a="1"/>
  <c r="N34" i="6" a="1"/>
  <c r="N26" i="6" a="1"/>
  <c r="N18" i="6" a="1"/>
  <c r="N10" i="6" a="1"/>
  <c r="G35" i="5" a="1"/>
  <c r="G27" i="5" a="1"/>
  <c r="M36" i="6" a="1"/>
  <c r="M28" i="6" a="1"/>
  <c r="K20" i="6" a="1"/>
  <c r="K12" i="6" a="1"/>
  <c r="H36" i="5" a="1"/>
  <c r="H28" i="5" a="1"/>
  <c r="H20" i="5" a="1"/>
  <c r="H12" i="5" a="1"/>
  <c r="L38" i="6" a="1"/>
  <c r="L30" i="6" a="1"/>
  <c r="L22" i="6" a="1"/>
  <c r="L14" i="6" a="1"/>
  <c r="G38" i="5" a="1"/>
  <c r="G30" i="5" a="1"/>
  <c r="G22" i="5" a="1"/>
  <c r="F32" i="5" a="1"/>
  <c r="G16" i="5" a="1"/>
  <c r="H37" i="4" a="1"/>
  <c r="H14" i="3" a="1"/>
  <c r="N15" i="6" a="1"/>
  <c r="F16" i="5" a="1"/>
  <c r="K35" i="6" a="1"/>
  <c r="H13" i="3" a="1"/>
  <c r="F38" i="5" a="1"/>
  <c r="F22" i="5" a="1"/>
  <c r="G12" i="5" a="1"/>
  <c r="H31" i="4" a="1"/>
  <c r="H23" i="4" a="1"/>
  <c r="H15" i="4" a="1"/>
  <c r="H7" i="4" a="1"/>
  <c r="H11" i="3" a="1"/>
  <c r="H30" i="3" a="1"/>
  <c r="G19" i="5" a="1"/>
  <c r="P11" i="3" a="1"/>
  <c r="F28" i="4" a="1"/>
  <c r="P19" i="3" a="1"/>
  <c r="P29" i="3" a="1"/>
  <c r="G18" i="5" a="1"/>
  <c r="F11" i="4" a="1"/>
  <c r="F13" i="4" a="1"/>
  <c r="L7" i="5" a="1"/>
  <c r="L24" i="5" a="1"/>
  <c r="L27" i="6" a="1"/>
  <c r="H32" i="3" a="1"/>
  <c r="H33" i="3" a="1"/>
  <c r="F17" i="4" a="1"/>
  <c r="N33" i="6" a="1"/>
  <c r="K25" i="6" a="1"/>
  <c r="K17" i="6" a="1"/>
  <c r="K9" i="6" a="1"/>
  <c r="L34" i="5" a="1"/>
  <c r="L26" i="5" a="1"/>
  <c r="M35" i="6" a="1"/>
  <c r="M27" i="6" a="1"/>
  <c r="L19" i="6" a="1"/>
  <c r="L11" i="6" a="1"/>
  <c r="F35" i="5" a="1"/>
  <c r="F27" i="5" a="1"/>
  <c r="F19" i="5" a="1"/>
  <c r="F11" i="5" a="1"/>
  <c r="L37" i="6" a="1"/>
  <c r="L29" i="6" a="1"/>
  <c r="M21" i="6" a="1"/>
  <c r="M13" i="6" a="1"/>
  <c r="L37" i="5" a="1"/>
  <c r="L29" i="5" a="1"/>
  <c r="K38" i="6" a="1"/>
  <c r="H29" i="5" a="1"/>
  <c r="H15" i="5" a="1"/>
  <c r="H36" i="3" a="1"/>
  <c r="H10" i="3" a="1"/>
  <c r="L9" i="6" a="1"/>
  <c r="G15" i="5" a="1"/>
  <c r="K27" i="6" a="1"/>
  <c r="H9" i="3" a="1"/>
  <c r="H35" i="5" a="1"/>
  <c r="G21" i="5" a="1"/>
  <c r="H11" i="5" a="1"/>
  <c r="H30" i="4" a="1"/>
  <c r="H22" i="4" a="1"/>
  <c r="H14" i="4" a="1"/>
  <c r="H6" i="4" a="1"/>
  <c r="H7" i="3" a="1"/>
  <c r="H26" i="3" a="1"/>
  <c r="F12" i="5" a="1"/>
  <c r="F20" i="5" a="1"/>
  <c r="F24" i="4" a="1"/>
  <c r="P8" i="3" a="1"/>
  <c r="P24" i="3" a="1"/>
  <c r="L8" i="5" a="1"/>
  <c r="F7" i="4" a="1"/>
  <c r="P10" i="3" a="1"/>
  <c r="F34" i="4" a="1"/>
  <c r="P6" i="3" a="1"/>
  <c r="M7" i="6" a="1"/>
  <c r="N9" i="6" a="1"/>
  <c r="K19" i="6" a="1"/>
  <c r="L13" i="5" a="1"/>
  <c r="H31" i="5" a="1"/>
  <c r="H20" i="4" a="1"/>
  <c r="F21" i="4" a="1"/>
  <c r="F31" i="4" a="1"/>
  <c r="N32" i="6" a="1"/>
  <c r="L24" i="6" a="1"/>
  <c r="L16" i="6" a="1"/>
  <c r="L8" i="6" a="1"/>
  <c r="G33" i="5" a="1"/>
  <c r="G25" i="5" a="1"/>
  <c r="M34" i="6" a="1"/>
  <c r="M26" i="6" a="1"/>
  <c r="M18" i="6" a="1"/>
  <c r="M10" i="6" a="1"/>
  <c r="H34" i="5" a="1"/>
  <c r="H26" i="5" a="1"/>
  <c r="H18" i="5" a="1"/>
  <c r="H10" i="5" a="1"/>
  <c r="L36" i="6" a="1"/>
  <c r="L28" i="6" a="1"/>
  <c r="N20" i="6" a="1"/>
  <c r="N12" i="6" a="1"/>
  <c r="G36" i="5" a="1"/>
  <c r="G28" i="5" a="1"/>
  <c r="K30" i="6" a="1"/>
  <c r="F28" i="5" a="1"/>
  <c r="L14" i="5" a="1"/>
  <c r="H34" i="3" a="1"/>
  <c r="H6" i="3" a="1"/>
  <c r="K36" i="6" a="1"/>
  <c r="G14" i="5" a="1"/>
  <c r="H35" i="3" a="1"/>
  <c r="K33" i="6" a="1"/>
  <c r="F34" i="5" a="1"/>
  <c r="G20" i="5" a="1"/>
  <c r="L10" i="5" a="1"/>
  <c r="H29" i="4" a="1"/>
  <c r="H21" i="4" a="1"/>
  <c r="H13" i="4" a="1"/>
  <c r="H37" i="3" a="1"/>
  <c r="L25" i="6" a="1"/>
  <c r="H20" i="3" a="1"/>
  <c r="H9" i="5" a="1"/>
  <c r="P32" i="3" a="1"/>
  <c r="F20" i="4" a="1"/>
  <c r="L21" i="6" a="1"/>
  <c r="P13" i="3" a="1"/>
  <c r="F35" i="4" a="1"/>
  <c r="P23" i="3" a="1"/>
  <c r="P34" i="3" a="1"/>
  <c r="F30" i="4" a="1"/>
  <c r="L16" i="5" a="1"/>
  <c r="N31" i="6" a="1"/>
  <c r="N25" i="6" a="1"/>
  <c r="F17" i="5" a="1"/>
  <c r="H25" i="5" a="1"/>
  <c r="H13" i="5" a="1"/>
  <c r="H28" i="4" a="1"/>
  <c r="P25" i="3" a="1"/>
  <c r="P18" i="3" a="1"/>
  <c r="D21" i="6" l="1"/>
  <c r="D26" i="6"/>
  <c r="P26" i="3"/>
  <c r="F17" i="4"/>
  <c r="L16" i="5"/>
  <c r="P6" i="3"/>
  <c r="F6" i="4"/>
  <c r="F10" i="4"/>
  <c r="F14" i="4"/>
  <c r="F18" i="4"/>
  <c r="F22" i="4"/>
  <c r="F26" i="4"/>
  <c r="F30" i="4"/>
  <c r="F34" i="4"/>
  <c r="L7" i="5"/>
  <c r="G10" i="5"/>
  <c r="R10" i="5" s="1"/>
  <c r="T10" i="5" s="1"/>
  <c r="E9" i="6" s="1"/>
  <c r="H17" i="5"/>
  <c r="P15" i="3"/>
  <c r="F25" i="4"/>
  <c r="P27" i="3"/>
  <c r="P34" i="3"/>
  <c r="P10" i="3"/>
  <c r="F13" i="4"/>
  <c r="P21" i="3"/>
  <c r="P17" i="3"/>
  <c r="P28" i="3"/>
  <c r="P7" i="3"/>
  <c r="P18" i="3"/>
  <c r="P23" i="3"/>
  <c r="F7" i="4"/>
  <c r="F11" i="4"/>
  <c r="F15" i="4"/>
  <c r="F19" i="4"/>
  <c r="F23" i="4"/>
  <c r="F27" i="4"/>
  <c r="F31" i="4"/>
  <c r="F35" i="4"/>
  <c r="L8" i="5"/>
  <c r="G18" i="5"/>
  <c r="R18" i="5" s="1"/>
  <c r="T18" i="5" s="1"/>
  <c r="E15" i="6" s="1"/>
  <c r="L17" i="6"/>
  <c r="P31" i="3"/>
  <c r="F29" i="4"/>
  <c r="P16" i="3"/>
  <c r="P22" i="3"/>
  <c r="P13" i="3"/>
  <c r="P24" i="3"/>
  <c r="P29" i="3"/>
  <c r="P35" i="3"/>
  <c r="G11" i="5"/>
  <c r="R11" i="5" s="1"/>
  <c r="T11" i="5" s="1"/>
  <c r="K10" i="6"/>
  <c r="F33" i="4"/>
  <c r="L13" i="6"/>
  <c r="L21" i="6"/>
  <c r="P8" i="3"/>
  <c r="P19" i="3"/>
  <c r="P30" i="3"/>
  <c r="P36" i="3"/>
  <c r="F8" i="4"/>
  <c r="F12" i="4"/>
  <c r="F16" i="4"/>
  <c r="F20" i="4"/>
  <c r="F24" i="4"/>
  <c r="F28" i="4"/>
  <c r="F32" i="4"/>
  <c r="H36" i="4"/>
  <c r="L15" i="5"/>
  <c r="F9" i="4"/>
  <c r="F21" i="4"/>
  <c r="P32" i="3"/>
  <c r="F20" i="5"/>
  <c r="P11" i="3"/>
  <c r="P12" i="3"/>
  <c r="P14" i="3"/>
  <c r="P9" i="3"/>
  <c r="P20" i="3"/>
  <c r="P25" i="3"/>
  <c r="H9" i="5"/>
  <c r="F12" i="5"/>
  <c r="G19" i="5"/>
  <c r="R19" i="5" s="1"/>
  <c r="T19" i="5" s="1"/>
  <c r="E16" i="6" s="1"/>
  <c r="K32" i="6"/>
  <c r="G7" i="5"/>
  <c r="R7" i="5" s="1"/>
  <c r="T7" i="5" s="1"/>
  <c r="H8" i="3"/>
  <c r="H12" i="3"/>
  <c r="H16" i="3"/>
  <c r="H20" i="3"/>
  <c r="H26" i="3"/>
  <c r="H30" i="3"/>
  <c r="M16" i="6"/>
  <c r="M20" i="6"/>
  <c r="M24" i="6"/>
  <c r="K31" i="6"/>
  <c r="M8" i="6"/>
  <c r="L25" i="6"/>
  <c r="H7" i="3"/>
  <c r="H11" i="3"/>
  <c r="H15" i="3"/>
  <c r="H19" i="3"/>
  <c r="H25" i="3"/>
  <c r="H29" i="3"/>
  <c r="H33" i="3"/>
  <c r="H37" i="3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L9" i="5"/>
  <c r="L10" i="5"/>
  <c r="H11" i="5"/>
  <c r="G12" i="5"/>
  <c r="R12" i="5" s="1"/>
  <c r="T12" i="5" s="1"/>
  <c r="E10" i="6" s="1"/>
  <c r="G13" i="5"/>
  <c r="R13" i="5" s="1"/>
  <c r="T13" i="5" s="1"/>
  <c r="E12" i="6" s="1"/>
  <c r="E17" i="6" s="1"/>
  <c r="F14" i="5"/>
  <c r="L17" i="5"/>
  <c r="L18" i="5"/>
  <c r="H19" i="5"/>
  <c r="G20" i="5"/>
  <c r="R20" i="5" s="1"/>
  <c r="T20" i="5" s="1"/>
  <c r="G21" i="5"/>
  <c r="R21" i="5" s="1"/>
  <c r="T21" i="5" s="1"/>
  <c r="F22" i="5"/>
  <c r="H23" i="5"/>
  <c r="F26" i="5"/>
  <c r="H27" i="5"/>
  <c r="F30" i="5"/>
  <c r="H31" i="5"/>
  <c r="F34" i="5"/>
  <c r="H35" i="5"/>
  <c r="F38" i="5"/>
  <c r="K14" i="6"/>
  <c r="K18" i="6"/>
  <c r="K22" i="6"/>
  <c r="K26" i="6"/>
  <c r="K34" i="6"/>
  <c r="K33" i="6"/>
  <c r="H9" i="3"/>
  <c r="H13" i="3"/>
  <c r="H17" i="3"/>
  <c r="H21" i="3"/>
  <c r="H23" i="3"/>
  <c r="H27" i="3"/>
  <c r="H31" i="3"/>
  <c r="H35" i="3"/>
  <c r="K27" i="6"/>
  <c r="K35" i="6"/>
  <c r="P33" i="3"/>
  <c r="F8" i="5"/>
  <c r="L11" i="5"/>
  <c r="L12" i="5"/>
  <c r="H13" i="5"/>
  <c r="G14" i="5"/>
  <c r="R14" i="5" s="1"/>
  <c r="T14" i="5" s="1"/>
  <c r="G15" i="5"/>
  <c r="R15" i="5" s="1"/>
  <c r="T15" i="5" s="1"/>
  <c r="F16" i="5"/>
  <c r="L19" i="5"/>
  <c r="L20" i="5"/>
  <c r="H21" i="5"/>
  <c r="N11" i="6"/>
  <c r="K28" i="6"/>
  <c r="K36" i="6"/>
  <c r="L9" i="6"/>
  <c r="N15" i="6"/>
  <c r="N19" i="6"/>
  <c r="N23" i="6"/>
  <c r="K29" i="6"/>
  <c r="K37" i="6"/>
  <c r="P37" i="3"/>
  <c r="H6" i="3"/>
  <c r="H10" i="3"/>
  <c r="H14" i="3"/>
  <c r="H18" i="3"/>
  <c r="H22" i="3"/>
  <c r="H24" i="3"/>
  <c r="H28" i="3"/>
  <c r="H32" i="3"/>
  <c r="H34" i="3"/>
  <c r="H36" i="3"/>
  <c r="H37" i="4"/>
  <c r="H7" i="5"/>
  <c r="G8" i="5"/>
  <c r="R8" i="5" s="1"/>
  <c r="T8" i="5" s="1"/>
  <c r="G9" i="5"/>
  <c r="R9" i="5" s="1"/>
  <c r="T9" i="5" s="1"/>
  <c r="E8" i="6" s="1"/>
  <c r="F10" i="5"/>
  <c r="L13" i="5"/>
  <c r="L14" i="5"/>
  <c r="H15" i="5"/>
  <c r="G16" i="5"/>
  <c r="R16" i="5" s="1"/>
  <c r="T16" i="5" s="1"/>
  <c r="E13" i="6" s="1"/>
  <c r="G17" i="5"/>
  <c r="R17" i="5" s="1"/>
  <c r="T17" i="5" s="1"/>
  <c r="E14" i="6" s="1"/>
  <c r="F18" i="5"/>
  <c r="L21" i="5"/>
  <c r="F24" i="5"/>
  <c r="H25" i="5"/>
  <c r="F28" i="5"/>
  <c r="H29" i="5"/>
  <c r="F32" i="5"/>
  <c r="H33" i="5"/>
  <c r="F36" i="5"/>
  <c r="H37" i="5"/>
  <c r="N7" i="6"/>
  <c r="M12" i="6"/>
  <c r="K30" i="6"/>
  <c r="K38" i="6"/>
  <c r="G22" i="5"/>
  <c r="R22" i="5" s="1"/>
  <c r="T22" i="5" s="1"/>
  <c r="L23" i="5"/>
  <c r="G24" i="5"/>
  <c r="R24" i="5" s="1"/>
  <c r="T24" i="5" s="1"/>
  <c r="E18" i="6" s="1"/>
  <c r="E21" i="6" s="1"/>
  <c r="L25" i="5"/>
  <c r="G26" i="5"/>
  <c r="R26" i="5" s="1"/>
  <c r="T26" i="5" s="1"/>
  <c r="E20" i="6" s="1"/>
  <c r="L27" i="5"/>
  <c r="G28" i="5"/>
  <c r="R28" i="5" s="1"/>
  <c r="T28" i="5" s="1"/>
  <c r="E22" i="6" s="1"/>
  <c r="E26" i="6" s="1"/>
  <c r="L29" i="5"/>
  <c r="G30" i="5"/>
  <c r="R30" i="5" s="1"/>
  <c r="T30" i="5" s="1"/>
  <c r="L31" i="5"/>
  <c r="G32" i="5"/>
  <c r="R32" i="5" s="1"/>
  <c r="T32" i="5" s="1"/>
  <c r="L33" i="5"/>
  <c r="G34" i="5"/>
  <c r="R34" i="5" s="1"/>
  <c r="T34" i="5" s="1"/>
  <c r="E24" i="6" s="1"/>
  <c r="L35" i="5"/>
  <c r="G36" i="5"/>
  <c r="R36" i="5" s="1"/>
  <c r="T36" i="5" s="1"/>
  <c r="E25" i="6" s="1"/>
  <c r="L37" i="5"/>
  <c r="G38" i="5"/>
  <c r="R38" i="5" s="1"/>
  <c r="T38" i="5" s="1"/>
  <c r="K7" i="6"/>
  <c r="N8" i="6"/>
  <c r="M9" i="6"/>
  <c r="L10" i="6"/>
  <c r="K11" i="6"/>
  <c r="N12" i="6"/>
  <c r="M13" i="6"/>
  <c r="L14" i="6"/>
  <c r="K15" i="6"/>
  <c r="N16" i="6"/>
  <c r="M17" i="6"/>
  <c r="L18" i="6"/>
  <c r="K19" i="6"/>
  <c r="N20" i="6"/>
  <c r="M21" i="6"/>
  <c r="L22" i="6"/>
  <c r="K23" i="6"/>
  <c r="N24" i="6"/>
  <c r="M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F36" i="4"/>
  <c r="F37" i="4"/>
  <c r="F7" i="5"/>
  <c r="H8" i="5"/>
  <c r="F9" i="5"/>
  <c r="H10" i="5"/>
  <c r="F11" i="5"/>
  <c r="H12" i="5"/>
  <c r="F13" i="5"/>
  <c r="H14" i="5"/>
  <c r="F15" i="5"/>
  <c r="H16" i="5"/>
  <c r="F17" i="5"/>
  <c r="H18" i="5"/>
  <c r="F19" i="5"/>
  <c r="H20" i="5"/>
  <c r="F21" i="5"/>
  <c r="H22" i="5"/>
  <c r="F23" i="5"/>
  <c r="H24" i="5"/>
  <c r="F25" i="5"/>
  <c r="H26" i="5"/>
  <c r="F27" i="5"/>
  <c r="H28" i="5"/>
  <c r="F29" i="5"/>
  <c r="H30" i="5"/>
  <c r="F31" i="5"/>
  <c r="H32" i="5"/>
  <c r="F33" i="5"/>
  <c r="H34" i="5"/>
  <c r="F35" i="5"/>
  <c r="H36" i="5"/>
  <c r="F37" i="5"/>
  <c r="H38" i="5"/>
  <c r="L7" i="6"/>
  <c r="K8" i="6"/>
  <c r="N9" i="6"/>
  <c r="M10" i="6"/>
  <c r="L11" i="6"/>
  <c r="K12" i="6"/>
  <c r="N13" i="6"/>
  <c r="M14" i="6"/>
  <c r="L15" i="6"/>
  <c r="K16" i="6"/>
  <c r="N17" i="6"/>
  <c r="M18" i="6"/>
  <c r="L19" i="6"/>
  <c r="K20" i="6"/>
  <c r="N21" i="6"/>
  <c r="M22" i="6"/>
  <c r="L23" i="6"/>
  <c r="K24" i="6"/>
  <c r="N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L22" i="5"/>
  <c r="G23" i="5"/>
  <c r="R23" i="5" s="1"/>
  <c r="T23" i="5" s="1"/>
  <c r="L24" i="5"/>
  <c r="G25" i="5"/>
  <c r="R25" i="5" s="1"/>
  <c r="T25" i="5" s="1"/>
  <c r="L26" i="5"/>
  <c r="G27" i="5"/>
  <c r="R27" i="5" s="1"/>
  <c r="T27" i="5" s="1"/>
  <c r="L28" i="5"/>
  <c r="G29" i="5"/>
  <c r="R29" i="5" s="1"/>
  <c r="T29" i="5" s="1"/>
  <c r="L30" i="5"/>
  <c r="G31" i="5"/>
  <c r="R31" i="5" s="1"/>
  <c r="T31" i="5" s="1"/>
  <c r="L32" i="5"/>
  <c r="G33" i="5"/>
  <c r="R33" i="5" s="1"/>
  <c r="T33" i="5" s="1"/>
  <c r="L34" i="5"/>
  <c r="G35" i="5"/>
  <c r="R35" i="5" s="1"/>
  <c r="T35" i="5" s="1"/>
  <c r="L36" i="5"/>
  <c r="G37" i="5"/>
  <c r="R37" i="5" s="1"/>
  <c r="T37" i="5" s="1"/>
  <c r="L38" i="5"/>
  <c r="C4" i="6"/>
  <c r="M7" i="6"/>
  <c r="L8" i="6"/>
  <c r="K9" i="6"/>
  <c r="N10" i="6"/>
  <c r="M11" i="6"/>
  <c r="L12" i="6"/>
  <c r="K13" i="6"/>
  <c r="N14" i="6"/>
  <c r="M15" i="6"/>
  <c r="L16" i="6"/>
  <c r="K17" i="6"/>
  <c r="N18" i="6"/>
  <c r="M19" i="6"/>
  <c r="L20" i="6"/>
  <c r="K21" i="6"/>
  <c r="N22" i="6"/>
  <c r="M23" i="6"/>
  <c r="L24" i="6"/>
  <c r="K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D11" i="6"/>
  <c r="R33" i="4" l="1"/>
  <c r="N33" i="4"/>
  <c r="R25" i="4"/>
  <c r="N25" i="4"/>
  <c r="R17" i="4"/>
  <c r="N17" i="4"/>
  <c r="R9" i="4"/>
  <c r="N9" i="4"/>
  <c r="T39" i="5"/>
  <c r="E7" i="6"/>
  <c r="E11" i="6" s="1"/>
  <c r="R36" i="4"/>
  <c r="N36" i="4"/>
  <c r="R26" i="4"/>
  <c r="N26" i="4"/>
  <c r="R32" i="4"/>
  <c r="N32" i="4"/>
  <c r="R24" i="4"/>
  <c r="N24" i="4"/>
  <c r="R16" i="4"/>
  <c r="N16" i="4"/>
  <c r="R8" i="4"/>
  <c r="N8" i="4"/>
  <c r="R18" i="4"/>
  <c r="N18" i="4"/>
  <c r="R31" i="4"/>
  <c r="N31" i="4"/>
  <c r="R23" i="4"/>
  <c r="N23" i="4"/>
  <c r="R15" i="4"/>
  <c r="N15" i="4"/>
  <c r="R7" i="4"/>
  <c r="N7" i="4"/>
  <c r="R37" i="4"/>
  <c r="N37" i="4"/>
  <c r="R30" i="4"/>
  <c r="N30" i="4"/>
  <c r="R22" i="4"/>
  <c r="N22" i="4"/>
  <c r="R14" i="4"/>
  <c r="N14" i="4"/>
  <c r="R6" i="4"/>
  <c r="N6" i="4"/>
  <c r="R29" i="4"/>
  <c r="N29" i="4"/>
  <c r="R21" i="4"/>
  <c r="N21" i="4"/>
  <c r="R13" i="4"/>
  <c r="N13" i="4"/>
  <c r="R10" i="4"/>
  <c r="N10" i="4"/>
  <c r="R28" i="4"/>
  <c r="N28" i="4"/>
  <c r="R20" i="4"/>
  <c r="N20" i="4"/>
  <c r="R12" i="4"/>
  <c r="N12" i="4"/>
  <c r="R34" i="4"/>
  <c r="N34" i="4"/>
  <c r="R35" i="4"/>
  <c r="N35" i="4"/>
  <c r="R27" i="4"/>
  <c r="N27" i="4"/>
  <c r="R19" i="4"/>
  <c r="N19" i="4"/>
  <c r="R11" i="4"/>
  <c r="N11" i="4"/>
  <c r="K33" i="4" a="1"/>
  <c r="K17" i="4" a="1"/>
  <c r="K36" i="4" a="1"/>
  <c r="K9" i="4" a="1"/>
  <c r="K21" i="4" a="1"/>
  <c r="K30" i="4" a="1"/>
  <c r="K18" i="4" a="1"/>
  <c r="K34" i="4" a="1"/>
  <c r="K11" i="4" a="1"/>
  <c r="K23" i="4" a="1"/>
  <c r="K26" i="4" a="1"/>
  <c r="K27" i="4" a="1"/>
  <c r="K28" i="4" a="1"/>
  <c r="K37" i="4" a="1"/>
  <c r="K31" i="4" a="1"/>
  <c r="K13" i="4" a="1"/>
  <c r="K29" i="4" a="1"/>
  <c r="K15" i="4" a="1"/>
  <c r="K32" i="4" a="1"/>
  <c r="K6" i="4" a="1"/>
  <c r="K10" i="4" a="1"/>
  <c r="K19" i="4" a="1"/>
  <c r="K25" i="4" a="1"/>
  <c r="K35" i="4" a="1"/>
  <c r="K24" i="4" a="1"/>
  <c r="K14" i="4" a="1"/>
  <c r="K22" i="4" a="1"/>
  <c r="K7" i="4" a="1"/>
  <c r="K8" i="4" a="1"/>
  <c r="K20" i="4" a="1"/>
  <c r="K12" i="4" a="1"/>
  <c r="K16" i="4" a="1"/>
  <c r="K35" i="4" l="1"/>
  <c r="K25" i="4"/>
  <c r="K20" i="4"/>
  <c r="K7" i="4"/>
  <c r="K6" i="4"/>
  <c r="K31" i="4"/>
  <c r="K28" i="4"/>
  <c r="K30" i="4"/>
  <c r="K16" i="4"/>
  <c r="K11" i="4"/>
  <c r="K19" i="4"/>
  <c r="K22" i="4"/>
  <c r="K32" i="4"/>
  <c r="K34" i="4"/>
  <c r="K27" i="4"/>
  <c r="K21" i="4"/>
  <c r="K17" i="4"/>
  <c r="K13" i="4"/>
  <c r="K8" i="4"/>
  <c r="K14" i="4"/>
  <c r="K15" i="4"/>
  <c r="K18" i="4"/>
  <c r="K26" i="4"/>
  <c r="K9" i="4"/>
  <c r="K33" i="4"/>
  <c r="K12" i="4"/>
  <c r="K10" i="4"/>
  <c r="K24" i="4"/>
  <c r="K29" i="4"/>
  <c r="K37" i="4"/>
  <c r="K23" i="4"/>
  <c r="K36" i="4"/>
</calcChain>
</file>

<file path=xl/sharedStrings.xml><?xml version="1.0" encoding="utf-8"?>
<sst xmlns="http://schemas.openxmlformats.org/spreadsheetml/2006/main" count="1312" uniqueCount="365">
  <si>
    <t>소분류 (Level 3)</t>
  </si>
  <si>
    <t>주요 위험 요소</t>
  </si>
  <si>
    <t>위험 평가 방안</t>
  </si>
  <si>
    <t>위험 완화 방안</t>
  </si>
  <si>
    <t>고지 의무 위반</t>
  </si>
  <si>
    <t>고지 절차 누락: AI 서비스 이용 사실, 주요 의사결정 방식, 개인정보 처리 방침 등 필수 고지 항목을 사용자 화면에 노출하지 않는 위험</t>
  </si>
  <si>
    <t>sLLM 기반 문구 적정성 검사 (Content Validity): 법령에서 요구하는 필수 핵심 내용이 고지 문구에 포함되었는지 검사</t>
  </si>
  <si>
    <t>고지 절차 자동화 및 표준화: ITSM의 기획 단계에서 고지 의무 대상을 자동으로 식별하고, 표준화된 고지 템플릿을 서비스 설계에 반영하도록 강제화</t>
  </si>
  <si>
    <t>자동화 로직:  sLLM를 활용하여 고지 문구 내에 [AI 활용, 결과 도출 근거, 이의제기 권리, 담당부서 연락처] 등의 필수 키워드가 포함되어 있는지 확인, 하나라도 누락 시 '주의' 등급을 부여</t>
  </si>
  <si>
    <t>관리시스템: 서비스 기획 및 AI 서비스 개발계획 수립 시 고지 항목을 정의하고 서비스 승인 절차에서 이행 여부를 최종 확정</t>
  </si>
  <si>
    <t>부적절한 고지 내용: 복잡한 전문 용어를 사용하거나 중요 사항을 작은 글씨로 처리하여 소비자가 고지 내용을 충분히 이해하지 못하게 함으로써 적합성/적정성 원칙을 위반할 위험</t>
  </si>
  <si>
    <t>체크리스트를 통한 사용자 판단</t>
  </si>
  <si>
    <t>설명 의무/부당권유행위 위반</t>
  </si>
  <si>
    <t>블랙박스(Black-box) 현상: AI 모델의 복잡성으로 인해 결과 도출 근거를 담당자조차 파악하지 못해 소비자에게 설명을 제공하지 못하는 위험</t>
  </si>
  <si>
    <t xml:space="preserve">법규 준수 진단 (Compliance Score): 로직: AI 기본법의 요구사항 기반 체크리스트 (예: 투명성 확보 의무에 따른 고지 의무 등)를 시스템화하여 이행 여부를 점수화, 지표: 100점 만점 기준 100점 필수 (법적 의무 사항은 예외 없이 준수해야 함)
</t>
  </si>
  <si>
    <t xml:space="preserve">Legal-Tech 기반 가드레일: sLLM 기반 법령 스캐너를 활용하여 서비스 기획서 및 약관이 최신 AI 기본법 및 시행령에 부합하는지 실시간 검토
</t>
  </si>
  <si>
    <t>설명 정합성 지수 (EA-Score): 로직: AI가 제시한 설명(Explanation)이 실제 모델의 피처 기여도(FeatureImportance)와 얼마나 일치하는지 측정 기준: 정합성 98% 이상 '우수', 90% 미만 ‘주의'.</t>
  </si>
  <si>
    <t>관리시스템:  AI 위험/영향 식별 단계에서 설명 의무 대상 여부를 판정하고, 위반 시 위험성 재평가 프로세스를 수행</t>
  </si>
  <si>
    <t>잘못된 근거 제시(Misinformation): 환각(Hallucination) 현상 등으로 인해 AI가 실제 로직과 다른 허구의 이유를 생성하여 소비자를 오도할 위험</t>
  </si>
  <si>
    <t>XAI 신뢰도 검증 (XF-Score): SHAP, LIME 등의 기술을 사용하여 모델의 판단 근거를 시각화하고, 이를 비즈니스 규칙과 대조하여 논리적 타당성을 검토</t>
  </si>
  <si>
    <t>평가시스템:  RAG 기반 데이터 Faithful 점수평가를 통해 생성된 설명이 실제 규정집이나 데이터에 기반하고 있는지 실시간 검증</t>
  </si>
  <si>
    <t>알고리즘적 부당권유: 특정 금융상품이나 서비스를 우선적으로 추천하도록 알고리즘을 조작하거나, 소비자에게 불리한 선택을 유도하는 '다크 넛지(Dark Nudge)'를 수행할 위험</t>
  </si>
  <si>
    <t>부당권유 탐지 모니터링: 특정 상품의 추천 빈도가 통계적으로 비정상적으로 높거나, 수익성 위주의 편향이 발견되는지 집단 간 격차 지수(DI)를 변형하여 측정</t>
  </si>
  <si>
    <t>AI 기본법 위반</t>
  </si>
  <si>
    <t>투명성 확보 의무(제31조) 위반: 고영향·생성형 AI를 활용한 제품·서비스 제공 시 기본법에서 요구하는 사전 고지 및 표시 요건을 준수하지 않을 위</t>
  </si>
  <si>
    <t>법규 준수 진단 (Compliance Score): 로직: AI 기본법의 요구사항 기반 체크리스트 (예: 투명성 확보 의무에 따른 고지 의무 등)를 시스템화하여 이행 여부를 점수화 지표: 100점 만점 기준 100점 필수 (법적 의무 사항은 예외 없이 준수해야 함)</t>
  </si>
  <si>
    <t>설명 가능한 AI(XAI) 워크플로우 의무화:  결정 결과와 함께 핵심 변수 3~5개를 소비자 화면에 자동으로 노출하는 기능을 설계 단계(ITSM)에서 필수화</t>
  </si>
  <si>
    <t>안전성 확보 의무(제32조) 위반: 기본법 상 고성능 AI 대상 안전성 확보 조치(위험 식별·평가·완화, 위험관리체계 구축 등)를 체계적으로 수행하지 않을 위험</t>
  </si>
  <si>
    <t>법규 준수 진단 (Compliance Score): 로직: AI 기본법의 요구사항 기반 체크리스트 (예: 투명성 확보 의무에 따른 고지 의무 등)를 시스템화하여 이행 여부를 점수화, 지표: 100점 만점 기준 100점 필수 (법적 의무 사항은 예외 없이 준수해야 함)</t>
  </si>
  <si>
    <t>단계별 게이트키핑 (Gate-keeping):  ITSM 워크플로우 상에서 법무/컴플라이언스 부서의 승인 없이는 모델 배포(Deployment)가 불가능하도록 시스템 통제장치를 설정</t>
  </si>
  <si>
    <t>고영향 AI 확인 및 책무 이행 실패(제33-34조):  인공지능 제품·서비스가 기본법상 ‘고영향 AI’(예: 채용, 대출심사, 범죄수사 등) 여부인지 사전 검토를 수행하지 않거나 법령 상 책무 사항(위험관리 방안, 설명방안 및 이용자 보호방안 수립·시행 등)을 조치·이행하지 않을 위험</t>
  </si>
  <si>
    <t>AI 영향 평가 (AIA, AI Impact Assessment): 관리시스템 내 'AI 위험/영향도/안전성 식별/평가' 단계를 통해 해당 서비스가 인권, 안전, 사회적 가치에 미치는 영향을 사전에 분석</t>
  </si>
  <si>
    <t>신뢰성 검인증 연계: 제3자 인증 기관이나 국가 공인 신뢰성 검인증 지표를 평가시스템에 등록하고, 이를 통과한 모델만 운영할 수 있도록 관리</t>
  </si>
  <si>
    <t>책임자 지정 및 거버넌스 부재: 법적 요구사항인 AI 관리 책임자 지정이나 내부 위험 관리 체계를 구축하지 않을 위험</t>
  </si>
  <si>
    <t>증적 완결성 검증: 법적 분쟁 시 제출할 수 있는 학습 데이터 출처, 알고리즘 설명서, 안전성 테스트 결과가 평가 이력 관리에 누락 없이 저장되어 있는지 자동 스캔</t>
  </si>
  <si>
    <t>책임 소재의 명확화: 관리시스템 내에 각 AI 서비스별 'AI 관리책임자'를 명시하고, 생애주기별 R&amp;R을 디지털 증적으로 남겨 책임성을 강화</t>
  </si>
  <si>
    <t>결합 공격 및 모자이크 효과: AI 모델이 제공하는 부분적인 정보와 외부의 공개 데이터를 결합하여 특정인을 추정</t>
  </si>
  <si>
    <t>민감 정보 생성 레드티밍:  공격 프롬프트 생성을 자동화는 레드티밍 솔루션을  활용하여 민감 정보 생성 및 공격 시도</t>
  </si>
  <si>
    <t>일반화 및 대체:  민감 데이터를 일반화하고 범주화하여 식별력을 낮춤</t>
  </si>
  <si>
    <t>속성 추론 공격: 모델이 학습한 데이터의 상관관계를 통해 사용자가 의도하지 않은 민감한 속성 예측</t>
  </si>
  <si>
    <t>공격 성공 판단: 공격 시나리오 입/출력에 민감정보 포함 여부</t>
  </si>
  <si>
    <t>과도한 정보 제공: RAG나 챗봇의 답변이 필요 이상의 정보를 과도하게 제공하여 간접적으로 개인정보 유출</t>
  </si>
  <si>
    <t>위험 점수: (공격 성공 / 전체 공격 시도) X 100</t>
  </si>
  <si>
    <t>출력값 라운딩(Rounding) 및 제한:  모델 예측 확률을 정밀하게 주지 않고, 대략적인 범위로 제공</t>
  </si>
  <si>
    <t>민감 정보 추출/재식별</t>
  </si>
  <si>
    <t>민감 정보 생성 레드티밍: 공격 프롬프트 생성을 자동화는 레드티밍 솔루션을 활용하여 민감 정보 생성 및 공격 시도</t>
  </si>
  <si>
    <t>일반화 및 대체: 민감 데이터를 일반화하고 범주화하여 식별력을 낮춤</t>
  </si>
  <si>
    <t>개인정보의 부적절한 처리</t>
  </si>
  <si>
    <t>개인정보의 목적 외 이용 : 개인정보 수집 시 ‘AI 학습 및 모델 개선’에 대한 별도 동의를 받지 않고, ‘서비스 이용’ 목적으로 수집한 데이터를 학습에 활용</t>
  </si>
  <si>
    <t>데이터 법령 준수 진단 (Compliance Score): 개인정보법 및 신용정보법 상 요건 기반 체크리스트 (예: AI 학습 및 모델 개선 목적 개인정보 수집 이용 동의 징구 및 해당 데이터 한정 모델 학습 여부 등)를 시스템화하여 이행 여부를 점수화</t>
  </si>
  <si>
    <t>AI 학습용 데이터 구분 동의: 수집 시점에 AI 학습용 데이터는 명확히 구분하여 동의를 획득하도록 UI 설계</t>
  </si>
  <si>
    <t>민감정보 및 고유식별정보 관리 소홀: 별도 동의가 필수인 민감정보(건강, 사상, 신념, 생체정보)나 고유식별정보(주민번호 등)를 일반 개인정보와 섞어서 관리하던 중 AI 모델 학습에 잘못 적용</t>
  </si>
  <si>
    <t>접근 로그 감사: 데이터 파이프라인 로그에 민감정보가 저장된 DB 테이블에 접근한 이력이 있는지 분석</t>
  </si>
  <si>
    <t>민감정보 분리 보관: 민감정보는 물리적/논리적으로 완전히 분리된 별도 DB에 암호화하여 저장</t>
  </si>
  <si>
    <t>금융관련 법 위반</t>
  </si>
  <si>
    <t>불공정 거래 및 시세 조종: 알고리즘 트레이딩 AI가 수익 극대화를 위해 스스로 허수 주문, 통정 매매 등의 불법적인 매매 패턴을 학습 및 실행</t>
  </si>
  <si>
    <t>이상금융거래 탐지 시스템(FDS) 연동: AI 이용 방식이 법규 위반 패턴과 유사한지 판단 가능</t>
  </si>
  <si>
    <t>Human-In-the-Loop(HITL) 개념 적용: 잘못된 판단으로 고객에게 큰 손해가 발생하거나 위법 가능성 높은 상품이나 서비스는 마지막 단계에서 해당 근거를 설명하고 인간이 판단할 수 있도록 하는 프로세스 적용</t>
  </si>
  <si>
    <t>법규 준수 진단 (Compliance Score): 주요 법령 상 요건 기반 체크리스트 (예: 자본시장법 제99조(투자일임보고서의 교부) 요구사항 등)를 시스템화하여 이행 여부를 점수화</t>
  </si>
  <si>
    <t>준수 여부 진단 결과 발견 사항에 대한 개선 수행: 체크리스트를 통한 점검 결과 사전 발견한 미흡 사항을 확인하고 각 사항에 따른 완화 방안을 수립 및 이행하여, 금융 관련 법령을 준수하여 AI 서비스 및 시스템을 개발 및 운영</t>
  </si>
  <si>
    <t>설명 의무 위반: 신용 평가나 대출 심사가 AI를 활용한 결과에 대해서 고객의 합리적인 사유를 설명하지 못하는 경우</t>
  </si>
  <si>
    <t>불완전 판매: 고객의 보수적인 투자 성향을 무시하고 고위험 파생상품을 권유 또는 원금 손실 위험을 미고지</t>
  </si>
  <si>
    <t>기타 법적 요구사항 미준수: 국내외 금융관련 법적 요건 미준수에 따른 과징금 부과 등 행정처분 발생</t>
  </si>
  <si>
    <t>학습 데이터 오염/손실</t>
  </si>
  <si>
    <t>데이터 유효성 검증 절차 부재: 데이터가 수집되는 과정에서 보낸 데이터가 정상적으로 도착했는지 미검증</t>
  </si>
  <si>
    <t>패킷 분석 툴(Fiddler 등) 이용: 패킷 분석 툴을 이용해서 특정 패킷의 이동을 멈춘 후 해당 패킷의 일부를 변조한 후, 전달하여 변조가 탐지되는지 확인</t>
  </si>
  <si>
    <t>데이터 검증: 원본 배포처가 제공한 해시값(SHA256)과 전달 받은 데이터의 해시값의 일치 여부로 오염/손실 확인</t>
  </si>
  <si>
    <t>데이터 편향성</t>
  </si>
  <si>
    <t>표본 편향 및 과소 대표: 특정 인종, 성별, 연령대 등의 데이터가 전체 데이터셋에서 차지하는 비중이 현저히 낮아 편향 발생</t>
  </si>
  <si>
    <t>편향 프롬프트 생성 레드티밍: 공격 프롬프트 생성을 자동화는 레드티밍 솔루션을 활용하여 편향된 프롬프트 생성</t>
  </si>
  <si>
    <t>편향 탐지 차단: 데이터 요청 중 편향성을 판단하여 차단하고 모니터링 (증오 / 괴롭힘 / 성적 콘텐츠 / 범죄 / 아동 성착취 / 자살 및 자해 등)</t>
  </si>
  <si>
    <t>라벨링 편향: 데이터에 라벨링하는 작업자의 주관적 편견이나 문화적 배경이 개입</t>
  </si>
  <si>
    <t>대리 변수 편향: 인종이나 성별 같은 민감 정보를 삭제했음에도, 거주지(우편번호)나 출신 학교 등 다른 변수가 편향 유발</t>
  </si>
  <si>
    <t>소비자 보호방안 미확보</t>
  </si>
  <si>
    <t>책임 소재의 불명확성: 약관에 AI 오류로 인한 금전적/정신적 피해에 대해 누가, 어디까지 책임질지 명시하지 않고 모호하게 방치</t>
  </si>
  <si>
    <t>설명 가능성(XAI) 검증: 상담원이 고객에게 AI의 결정 사유를 설명할 수 있도록, 시스템이 판단 근거를 남기고 있는지 여부</t>
  </si>
  <si>
    <t>문제 확인 시스템 도입: 프롬프트 입/출력 데이터를 모니터링하여 문제 원인을 역추적 가능하도록 구성</t>
  </si>
  <si>
    <t>소비자보호 절차 및 기준 수립: 고객이 AI 서비스 사용 관련한 발생 가능한 사고의 유형을 식별하여 사고 대응 프로세스, 보호 정책, 유형별 소비자 구제 방안, 민원 처리 절차 수립 및 이행</t>
  </si>
  <si>
    <t>소비자 보호 체크리스트 평가: 기획 단계에서 AI 모델 서비스 사용 시 발생할 수 있는 사고 유형을 정의하고, 각 유형별 사고 대응 프로세스, 소비자 보호 정책 및 구제 방안 및 매뉴얼, 민원 처리 관련 품질 지표 등을 수립하고 있는지 확인 및 평가함</t>
  </si>
  <si>
    <t>이의 제기 및 소명 절차 부재: AI 오류로 발생한 결과에 대해서, 소비자가 상세 과정과 결과를 확인할 수 있는 소명 창구 부재</t>
  </si>
  <si>
    <t>AI 고지 의무 위반: 특정 서비스에서 AI를 활용할 때 명확히 AI 활용 고지를 하지 않아 기만 이슈 발생</t>
  </si>
  <si>
    <t>UI/UX 투명성 감사: AI 서비스 화면에 AI 활용에 대한 문구나 워터마크가 시각적으로 명확히 표시되는지 진단</t>
  </si>
  <si>
    <t>AI 배상책임보험 가입: 기술적 한계로 인한 불가피한 사고 발생 시, 기업의 재무 리스크를 줄이고 소비자에게 실질적 보상을 제공</t>
  </si>
  <si>
    <t>소비자의 편의성 저하</t>
  </si>
  <si>
    <t>프롬프트 작성의 인지적 장벽: 사용자가 채팅창 앞에서 어떻게 해야할지 몰라 막막함을 느끼는 상태</t>
  </si>
  <si>
    <t>사용자 재입력 빈도 활용: 사용자가 비슷한 유형의 요청(예. 프롬프트 입력)을 얼마나 자주 반복하는지 발생 빈도를 파악하여 수치화한 후 편의성을 평가</t>
  </si>
  <si>
    <t>프롬프트 템플릿 추천: '이런 걸 물어보세요'와 같은 추천 질문 제공</t>
  </si>
  <si>
    <t>입력 도우미: 텍스트 입력 대신, 선택지를 클릭하여 프롬프트를 완성하도록 UI 개선</t>
  </si>
  <si>
    <t>비결정론적 답변의 혼란: 같은 질문을 해도 매번 다른 답변이 나오거나, AI가 멈춘 것인지 생각 중인지 알 수 없는 상태가 지속되어 사용자 불안 유발</t>
  </si>
  <si>
    <t>소비자 가이드 제작 및 배포: 소비자가 AI상품 및 서비스의 기능을 쉽게 이해하도록 매뉴얼을 제작하여 사용 과정에서 쉽게 조회 및 열람할 수 있도록 조치</t>
  </si>
  <si>
    <t>문맥 유지 실패: 대화가 길어지면 AI가 사용자의 의도를 놓쳐서 같은 말을 반복해서 입력해야 하는 피로감</t>
  </si>
  <si>
    <t>데이터 불충분성</t>
  </si>
  <si>
    <t>일반화 성능 저하: 학습 데이터가 실제 운영 환경의 다양성을 포괄하지 못하여, 새로운 데이터에 대해 모델이 올바른 예측을 하지 못하는 위험</t>
  </si>
  <si>
    <t>평가 지표: 신뢰구간(Confidence Interval, CI) 지수 도입</t>
  </si>
  <si>
    <t>데이터 증강(Data Augmentation): 합성 데이터 생성이나 통계적 오버샘플링을 통해 데이터가 희소한 구간을 보강하여 모델의 노출 빈도를 높힘</t>
  </si>
  <si>
    <t>뢰성 상실: 의도된 사용 상황과 데이터셋 간의 괴리로 인해 AI 시스템의 결과물을 사용자가 신뢰할 수 없게 되는 위험</t>
  </si>
  <si>
    <t>신뢰구간(CI) &gt; 0.2인 경우, 예측 결과의 불확실성이 높은 것으로 간주하여 시스템 경고를 발생시키고 재학습 우선순위를 상향 조정</t>
  </si>
  <si>
    <t>추론 제어 및 가드레일: 불확실성이 높은 예측 결과에 대해서는 AI의 독자적인 결정을 제한하고, 전문가(Human-in-the-Loop)의 개입을 요청하거나 사용자에게 불확실성을 사전에 고지</t>
  </si>
  <si>
    <t>데이터 정확성 부족</t>
  </si>
  <si>
    <t>사실 불일치 및 오염: 모델 학습에 사용되는 데이터가 실제 상황이나 객관적 사실과 다르게 기록되어 모델의 신뢰성을 근본적으로 훼손하는 위험</t>
  </si>
  <si>
    <t>머신러닝 모델인 Isolation Forest를 학습시켜, "평균적인 데이터 분포에서 벗어난 정도"를 0 ~ 1 사이의 점수로 환산</t>
  </si>
  <si>
    <t>이상치 점수 기반 자동 필터링 및 정제 (Cleaning):  평가 시스템에서 도출된 Isolation Forest 점수를 기반으로 즉각적인 조치를 수행</t>
  </si>
  <si>
    <t>기록의 비일관성: 동일한 항목(예: 특정 고객 ID)에 대해 서로 다른 정보가 중복되거나 상이하게 기록되어 예측의 혼선을 초래하는 위험</t>
  </si>
  <si>
    <t>데이터 입력 단계의 유효성 검증(Validation) 강화: 데이터가 시스템에 입력되는 시점에서 정확성을 확보하여 사후 정제 비용 축소</t>
  </si>
  <si>
    <t>심각한 오류 및 조작 데이터: 고의적인 조작이나 치명적인 기입 오류가 포함된 데이터가 학습에 활용되어 AI 시스템의 오작동을 유발</t>
  </si>
  <si>
    <t>거버넌스 및 전문 인력 검수 (Human-in-the-Loop):자동화된 시스템이 판별하기 어려운 맥락적 오류를 해결</t>
  </si>
  <si>
    <t>공정성 위반</t>
  </si>
  <si>
    <t>알고리즘적 편향: 모델의 구조 자체나 손실 함수(Loss Function) 설계상의 특성으로 인해 특정 집단에 불리한 결과가 고착화되는 위험</t>
  </si>
  <si>
    <t>집단 간 격차 지수(DI-Index, Disparate Impact) 평가 DI 산출 산식 = (소수/취약 집단의 승인율) / (다수 집단의 승인율) 0.8 ≤ DI ≤ 1.25: 우수 범위 이탈 시: 주의</t>
  </si>
  <si>
    <t>공정성 보정 알고리즘 적용: 모델 학습 단계에서 공정성 제약 조건(Fairness Constraints)을 추가하거나, 모델 출력 단계에서 임계값을 조정하여 집단 간 승인율 격차를 강제로 보정.</t>
  </si>
  <si>
    <t>설명 의무 및 부당권유: 특정 집단에 대한 차별적 결과가 도출되었음에도 그 근거를 명확히 설명하지 못하거나, 잘못된 정보로 특정 상품을 부당하게 권유할 위험</t>
  </si>
  <si>
    <t>설명 가능성(XAI) 강화: 차별적 결과가 의심되는 시나리오에 대해 SHAP나 LIME 등의 기술을 활용하여 결정 근거가 비즈니스 논리에 부합하는지 전수 검증</t>
  </si>
  <si>
    <t>사회적 차별 심화: 인종, 성별, 연령 등 민감한 속성에 따라 서비스 승인율이나 혜택이 크게 달라져 사회적 불공정을 야기할 위험</t>
  </si>
  <si>
    <t>관리 시스템 기반 워크플로우: DI 지수가 0.8 미만 또는 1.25 초과 시 시스템이 경고를 발생시키고, 모델 배포 전 전문가의 '공정성 승인' 절차를 거치도록 통제</t>
  </si>
  <si>
    <t>인과관계 파악 불가: AI가 왜 특정 결과(예: 대출 거절, 부정행위 탐지)를 도출했는지 알 수 없어, 결과의 정당성을 증명하거나 오류를 수정 불가능</t>
  </si>
  <si>
    <t>설명 가능한 AI(XAI) 기술 도입: 모델 설계 시 SHAP, LIME, Grad-CAM 등 시각화 도구를 통합하여 모델의 판단 근거를 실시간으로 추출</t>
  </si>
  <si>
    <t>디버깅 및 유지보수 난항: 모델 오작동 시 어떤 데이터나 로직이 문제를 일으켰는지 추적할 수 없어 신속한 장애 복구가 불가능</t>
  </si>
  <si>
    <t>모델 카드(Model Cards) 의무화: 관리시스템 내 '평가 이력 관리' 모듈에 모델의 용도, 한계점, 학습 데이터 특성, 성능 지표 등을 표준화된 문서 형식으로 기록하고 공개</t>
  </si>
  <si>
    <t>신뢰도 저하 및 수용성 거부: 사용자가 시스템의 판단 근거를 알 수 없을 때 서비스에 대한 거부감을 느끼며, 이는 기업의 브랜드 가치 하락</t>
  </si>
  <si>
    <t>투명한 인터페이스 설계: 사용자에게 결과만 전달하는 것이 아니라, "귀하의 점수가 낮은 이유는 최근 3개월간의 연체 기록이 60%의 비중으로 영향을 미쳤기 때문입니다"와 같은 구체적인 근거를 UI/UX에 반영</t>
  </si>
  <si>
    <t>법적 증거 능력 상실: 차별이나 불이익에 대한 소송 발생 시, 알고리즘의 중립성을 입증할 객관적인 근거 자료를 제시하지 못할 위험</t>
  </si>
  <si>
    <t>추적 가능성(Traceability) 확보: 모든 의사결정 로그를 관리시스템에 저장하여, 사후 감사나 디버깅 시 해당 시점의 입력 데이터와 모델 파라미터를 즉시 복원할 수 있는 체계를 구축</t>
  </si>
  <si>
    <t>모델 과대/과소 적합 위험</t>
  </si>
  <si>
    <t>과대적합(Overfitting) 위험: 모델이 학습 데이터의 노이즈나 세부적인 특징까지 지나치게 암기하여, 실제 운영 환경의 새로운 데이터에 대해 일반화된 결과를 산출하지 못하고 오작동할 위험</t>
  </si>
  <si>
    <t>학습/검증 손실 곡선 분석 (Learning Curve):  학습 데이터의 손실(Loss)과 검증 데이터의 손실 간 격차를 모니터링 과대적합 판정: 학습 손실은 지속적으로 감소하나 검증 손실이 증가하기 시작할 때 판정 과소적합 판정: 학습과 검증 손실 모두 높은 수준에서 정체될 때 판정</t>
  </si>
  <si>
    <t>규제화(Regularization) 적용: L1, L2 규제 등을 적용하여 특정 가중치가 지나치게 커지지 않도록 제어 조기 종료(Early Stopping): 검증 손실이 더 이상 개선되지 않는 시점에서 학습을 자동으로 중단 데이터 증강(Data Augmentation): 학습 데이터의 양을 늘리고 변동성을 주어 모델이 특정 패턴에 고착이 되지 않도록 함</t>
  </si>
  <si>
    <t>과소적합(Underfitting) 위험: 학습 데이터 부족이나 모델 구조의 단순함으로 인해 데이터의 핵심 패턴을 충분히 학습하지 못하여, 실제 환경에서 예상치 못한 성능 저하가 발생할 위험</t>
  </si>
  <si>
    <t>성능 유지율 모니터링: 운영 중 유입되는 실제 데이터에 대한 성능 유지율을 정기적으로 측정하여 배포 초기 성능 대비 급격한 하락 여부를 확인</t>
  </si>
  <si>
    <t>운영 불확실성: 과대/과소 적합이 발생한 모델은 특정 상황에서만 성능이 높거나 전반적으로 낮아 AI 시스템의 신뢰성을 저하</t>
  </si>
  <si>
    <t>통계적 구간 추정 (Uncertainty Estimation):  데이터 양이 모델의 일반화 성능을 보장하는지 신뢰구간(CI)을 통해 수치화  신뢰구간(CI) &gt; 0.2일 경우 불확실성 경고를 발생</t>
  </si>
  <si>
    <t>과소적합 완화 모델 복잡도 상향: 더 많은 층(Layer)이나 파라미터를 가진 모델로 구조를 변경하여 데이터의 복잡한 패턴을 학습 데이터 보강 및 능동적 학습(Active Learning): 데이터가 부족한 영역을 식별하여 추가 데이터를 수집 및 학습 반영 특징 엔지니어링(Feature Engineering): 예측에 유의미한 변수를 추가 발굴하여 모델의 학습 효율 제고</t>
  </si>
  <si>
    <t>모델 드리프트 위험</t>
  </si>
  <si>
    <t>개념 드리프트(Concept Drift): 입력 데이터와 출력값(타겟 변수) 사이의 통계적 관계가 변하여 모델의 예측 로직 자체가 유효하지 않게 되는 위험</t>
  </si>
  <si>
    <t>인구통계적 안정성 지수(PSI, Population Stability Index): 학습 데이터와 운영 데이터의 분포 차이를 수치화하여 관리. 0.1 미만: 분포 변화 적음 (정상) 0.1 ~ 0.25: 유의미한 변화 발생 (주의) 0.25 초과: 급격한 분포 변화 (위험, 재학습 필요)</t>
  </si>
  <si>
    <t>모델 재학습(Retraining): 최신 운영 데이터를 포함하여 모델을 다시 학습시킴으로써 변화된 데이터 환경을 반영  데이터 가중치 조정: 최신 데이터에 더 높은 가중치를 부여하여 학습함으로써 모델이 최신 트렌드에 민첩하게 반응</t>
  </si>
  <si>
    <t>데이터 드리프트(Data Drift/Covariate Shift): 모델의 입력 데이터 분포 자체가 학습 시점과 다르게 변하여 발생하는 위험(예: 소비자 선호도 변화, 새로운 정책 도입 등).</t>
  </si>
  <si>
    <t>통계적 검정(K-S Test): 두 데이터 분포가 동일한 모집단에서 추출되었는지 확인하기 위해 Kolmogorov-Smirnov 검정 등을 수행</t>
  </si>
  <si>
    <t>챔피언-챌린저(Champion-Challenger) 테스트: 기존 모델(Champion)과 최신 데이터로 학습된 신규 모델(Challenger)을 동시 운영하여 성능을 비교 검증한 후 교체</t>
  </si>
  <si>
    <t>성능 열화: 드리프트를 감지하지 못할 경우, AI 시스템이 잘못된 결과값을 지속적으로 산출하여 비즈니스 손실이나 사용자 신뢰도 저하를 야기</t>
  </si>
  <si>
    <t>성능 지표 모니터링: 실제 운영 데이터에 대한 정확도(Accuracy), 정밀도(Precision), F1-score 등의 지표가 초기 배포 대비 급격히 하락하는지 상시 트래킹</t>
  </si>
  <si>
    <t>자동화 파이프라인(MLOps) 구축: 드리프트가 특정 임계치(예: PSI &gt; 0.25)를 넘어서면 자동으로 재학습 및 평가가 이뤄지도록 '검수+피드백 시스템'을 연결</t>
  </si>
  <si>
    <t>모델 붕괴 (Model Collapse)</t>
  </si>
  <si>
    <t>데이터 오염 및 편향 축적: AI가 생성한 불완전한 데이터가 학습에 포함되면서 모델이 현실 세계의 다양성을 잃고 특정 패턴이나 오류에 고착되는 위험</t>
  </si>
  <si>
    <t>데이터 다양성 지수 (Diversity Index): 학습 데이터셋 내의 어휘 다양성이나 데이터 분포의 엔트로피를 측정하여, 합성 데이터 유입으로 인해 분포가 단순화되고 있는지 감시</t>
  </si>
  <si>
    <t>원본 데이터(Human-generated) 보존 및 우선순위 상향: 모델 재학습 시 AI 생성 데이터보다 인간이 직접 작성한 고품질 원본 데이터의 비중을 높게 유지</t>
  </si>
  <si>
    <t>일반화 성능의 급격한 저하: 모델이 실제 데이터가 아닌 'AI 스타일'의 정형화된 데이터만 학습하게 되어, 실제 상황에 대응하는 능력이 사라지는 위험</t>
  </si>
  <si>
    <t>성능 유지율 및 오차 누적 측정: 동일한 벤치마크 테스트셋에 대해 모델 버전별 성능 변화를 추적하여 성능이 급격히 꺾이는 지점을 탐지</t>
  </si>
  <si>
    <t>안전 가드레일 설정: 모델 붕괴 조짐이 보일 경우, 이전 세대의 안정적인 모델(Golden Model)로 롤백하거나 성능 저하 원인을 분석하여 데이터 클렌징 재수행</t>
  </si>
  <si>
    <t>정보 손실(Information Loss): 반복적인 재학습 과정에서 원본 데이터가 가졌던 세밀한 정보나 희귀한 케이스들이 누락되어 모델의 답변이 단조로워지는 위험</t>
  </si>
  <si>
    <t>합성 데이터 혼합비 추적: 전체 학습 데이터 중 AI가 생성한 데이터(Dsynthetic)의 비중을 정량적으로 관리</t>
  </si>
  <si>
    <t>평가시스템: RAG 기반 데이터 Faithful 점수평가 및 LLM 기반의 평가 모듈을 활용하여 데이터의 진위 여부와 품질을 스캔하여 붕괴 위험 점수를 도출</t>
  </si>
  <si>
    <t>모델 성능 지표 부적합</t>
  </si>
  <si>
    <t xml:space="preserve">비즈니스 목표와의 불일치: 예를 들어, 희귀 질병 진단 모델에서 정확도(Accuracy)만 지표로 삼을 경우, 실제 질병이 있는 환자를 놓치는 위험(Recall 저하)을 간주 </t>
  </si>
  <si>
    <t>다차원 지표 매트릭스 활용: 단일 지표가 아닌 혼동 행렬(Confusion Matrix)을 기반으로 정밀도(Precision), 재현율(Recall), F1-Score, AUC-ROC 등을 종합적으로 산출하여 지표 간 상충 관계를 분석</t>
  </si>
  <si>
    <t>비즈니스 맞춤형 지표 재정의: 서비스 기획 단계에서 정의한 핵심 성과 지표(KPI)와 모델 지표를 매핑하여, 비즈니스 손실과 직결되는 지표(예: 비용 가중치 적용 F-beta score)를 재설정</t>
  </si>
  <si>
    <t>데이터 불균형 간과: 데이터 클래스가 한쪽으로 치우친 상황에서 단순 정확도 지표를 선택하면, 모델이 다수 클래스만 맞추도록 학습되어 소수 클래스에 대한 예측력이 상실될 위험</t>
  </si>
  <si>
    <t>통계적 구간 추정 (U-Score): 선택된 지표가 통계적으로 유의미한지 확인하기 위해 신뢰구간을 산출합니다. 신뢰구간(CI) &gt; 0.2인 경우, 선택된 지표의 신뢰도가 낮다고 판단하고 경고를 발생</t>
  </si>
  <si>
    <t>검수 및 피드백 시스템 연계: 평가시스템에서 산출된 다차원 지표 결과를 전문가가 검수하여, 특정 지표에 편향된 성능 측정이 이루어지지 않았는지 확인하고 피드백</t>
  </si>
  <si>
    <t>성능 왜곡 및 과신: 부적절한 지표로 인해 실제로는 운영에 부적합한 모델임에도 불구하고 '성능이 좋다'고 오판하여 서비스를 조기 오픈할 위험이 발생</t>
  </si>
  <si>
    <t>지표 적합성 체크리스트: 모델의 유형(분류, 회귀, 생성 등)과 데이터의 특성(불균형성 등)에 비추어 표준 가이드라인에 맞는 지표가 선택되었는지 시스템적으로 대조</t>
  </si>
  <si>
    <t>지표 가이드라인 표준화: 조직 내 'AI 성능 지표 표준 가이드'를 수립하고, 관리시스템의 평가항목 관리 기능에 등록하여 일관된 평가 기준을 적용</t>
  </si>
  <si>
    <t>부정확한 정보 출력 (환각)</t>
  </si>
  <si>
    <t>사실적 환각(Factual Hallucination): 존재하지 않는 인물, 사건, 날짜 등을 실제인 것처럼 단정적으로 출력하여 사용자의 잘못된 지식 습득을 유발</t>
  </si>
  <si>
    <t>충실도 점수(Faithfulness Score): 생성된 답변이 제공된 소스 데이터(Source)에 기반하고 있는지 문장 단위로 대조하여 근거 일치율을 계산</t>
  </si>
  <si>
    <t>평가시스템: RAG 기반 데이터 Faithful 점수평가 엔진이 답변의 근거 유무를 실시간 판단하여 환각 지수 도출</t>
  </si>
  <si>
    <t>답변 일관성 테스트(Self-Consistency): 동일한 질문에 대해 모델이 반복적으로 상이한 정보를 출력하는지 확인하여 정보의 안정성을 평가</t>
  </si>
  <si>
    <t>관리시스템: 환각 위험 점수가 임계치를 초과할 경우 수시 위험성 체크 단계에서 경고를 발생시키고, 모델 배포 전 성능 검증 및 기획 설계 수정을 유도</t>
  </si>
  <si>
    <t>사용자 기만 및 오도: 모델의 높은 유창성(Fluency)으로 인해 사용자가 거짓 정보를 진실로 믿게 되어, 비즈니스 손실이나 법적 분쟁으로 이어질 위험</t>
  </si>
  <si>
    <t>LLM-as-a-Judge: 고성능의 외부 LLM을 평가자로 활용하여, 생성된 답변의 사실 관계(Fact-checking)를 검증하고 환각 점수를 산출</t>
  </si>
  <si>
    <t>자기 반추(Self-Correction) 워크플로우: 모델이 답변을 생성한 후 스스로 오류가 없는지 다시 한번 검토하고 수정하는 단계를 추가</t>
  </si>
  <si>
    <t>의사결정 기능 오작동</t>
  </si>
  <si>
    <t>부적절한 지침(Instruction Misalignment): AI 모델에 입력된 프롬프트나 가이드라인이 모호하여 시스템이 비즈니스 로직에 반하는 결정을 내릴 위험</t>
  </si>
  <si>
    <t>시나리오 기반 회귀 테스트: 금융거래 계약 등 주요 의사결정 상황에 대해 사전에 정의된 테스트 시나리오를 반복 수행하여 의도된 결과가 도출되는지 확인</t>
  </si>
  <si>
    <t>관리시스템: 기획 단계에서 AI 위험/영향/안전성 식별/평가를 통해 의사결정 오작동이 발생할 수 있는 주요 접점을 미리 파악하고 통제 계획을 수립</t>
  </si>
  <si>
    <t>전문 분야 오류: 금융, 법률 등 정밀성이 요구되는 도메인에서 모델이 잘못된 판단을 내려 고객에게 금전적 손실이나 법적 불이익을 줄 위험</t>
  </si>
  <si>
    <t>설명/해석 가능한 모델(XAI) 평가: AI가 특정 의사결정을 내린 근거(피처 기여도 등)를 분석하여, 그 판단 로직이 타당하고 설명 가능한지 평가</t>
  </si>
  <si>
    <t>평가시스템: 실제 개발된 서비스가 모델 평가 및 데이터 평가 과정을 통과하여 수치화된 안전 점수를 획득했는지 확인</t>
  </si>
  <si>
    <t>권리 행사 저해: AI의 자동화된 의사결정이 편향되거나 불투명하게 이루어져 고객이 정당한 계약 조건을 거부당하거나 권리 행사에 제약을 받을 위험</t>
  </si>
  <si>
    <t>RAG 기반 데이터 Faithful 점수평가: AI가 내린 결정이 실제 비즈니스 가이드라인이나 지식 베이스 (Knowledge Base)에 충실한지 정량적으로 점수화</t>
  </si>
  <si>
    <t>검수+피드백 시스템: 오작동 사례를 데이터화하여 지속적으로 평가시스템에 피드백함으로써 시스템의 판단 정확도를 고도화</t>
  </si>
  <si>
    <t>책임소재 불명확</t>
  </si>
  <si>
    <t>R&amp;R 공백 및 중첩: 특정 단계(예: 모델 평가와 운영 모니터링 사이)의 책임자가 불분명하여 리스크 관리가 누락되거나, 반대로 여러 부서의 책임이 중첩되어 의사결정이 지연될 위험</t>
  </si>
  <si>
    <t>R&amp;R 정의서 적정성 평가: AI 생애주기 단계별 (기획/설계 → 개발 → 평가/검증 → 도입/운영/모니터링) 책임자가 지정되어 있고, 업무 범위가 명확히 기술되었는지 체크리스트 점수화를 수행</t>
  </si>
  <si>
    <t>AI거버넌스 체계 내 업무분장 확립:  AI 서비스/모델 기획 단계에서 생애주기 전반 참여자, 이해관계자 간 책임관계를 명시한 업무분장 문서를 작성 및 관리</t>
  </si>
  <si>
    <t>사고 대응 지연: AI 오작동으로 인한 소비자 피해 발생 시, 원인 규명 및 구제 책임을 서로 회피하여 기업의 신뢰도가 실추되고 법적 분쟁이 심화될 위험</t>
  </si>
  <si>
    <t>거버넌스 준수 지수(Governance Index): 각 단계에서 필수 승인 절차(Gate-keeping)를 거쳤는지, 승인권자의 서명이 로그로 기록되었는지 확인하여 수치화</t>
  </si>
  <si>
    <t>생애주기 단계별 게이트키핑(Gate-keeping): 거버넌스 프로세스 상 ‘운영 전 검증’ 및 ‘위험관리 계획 이행 확인 후 승인’ 단계 등 필수화하여, 단계별 담당자 책임 하 수행한 경우에만 다음 단계로 진행하게끔 워크플로우를 강제</t>
  </si>
  <si>
    <t>외부 협력사 책임 전가: 외부 솔루션이나 전문가를 통해 모델을 도입했을 경우, 기술적 결함의 책임 소재를 두고 내부 조직과 외부 사업자 간의 책임 공방이 발생할 위험</t>
  </si>
  <si>
    <t>외부 계약 관리 평가: 외부 사업자와의 계약서 내에 서비스 수준 약정(SLA) 및 사고 발생 시의 책임 한계가 명확히 포함되었는지 법무 스캐너 등을 통해 확인</t>
  </si>
  <si>
    <t>AI 위험 관리 규정 수립: 전사적인 AI 윤리 가이드라인 및 위험 관리 규정을 수립하고, 이를 '평가항목 관리'에 반영하여 표준화된 책임 기준을 적용 AI 위험 관리시스템: 각 부서가 수행한 '위험 감소 진행' 내역을 수집하여 책임 이행 여부를 실시간으로 모니터링</t>
  </si>
  <si>
    <t>1. AI 위험 식별</t>
  </si>
  <si>
    <t>AI 서비스기획 담당자 작성</t>
  </si>
  <si>
    <t>관련 업무 담당자 작성</t>
  </si>
  <si>
    <t>위험 여부 최종 판단</t>
  </si>
  <si>
    <t>AI 서비스에 해당하는
AI 위험 식별(Lv.3 기준 해당 여부 Yes/No 선택) 및 사유 작성</t>
  </si>
  <si>
    <t>[작성 가이드]
- 엑셀의 노란색 영역(F, G 열)이 작성 영역입니다
- 위험 정의 시트를 참고하여 해당 위험의 정의를 확인해 주세요
- AI 서비스가 해당 위험에 해당하는지 F열에 Yes 혹은 No로 답변을 선택해 주시고, G열에 상세한 내용을 작성해 주세요
- H열의 Warning Msg.의 안내에 따라 답변을 재선택/재작성 해주세요.</t>
  </si>
  <si>
    <t>[작성 가이드]
- 엑설의 초록색 영역(K, L, M 열)이 작성 영역입니다
- 위험 인식 결과에 대해 보완이 필요하거나, 기타 의견이 있는 경우 N열에 상세 검토 의견을 작성해 주세요.
   (예. L열이 "No"인 경우, 어떤 사항에 대해 보완이 필요한지 사유 작성)
- AI 서비스 기획사를 바탕으로 평가검증, 위험관리를 각각 전담하는 '위험 해당 여부'를 응답 (H열 참고)</t>
  </si>
  <si>
    <t>[작성 가이드]
- 엑셀의 초록색 영역(O열)이 작성 영역입니다.
- AI 서비스기획 담당자 및 관련 업무 담당자가 판단한 위험 해당 여부에 대해, 최종적으로 위험 해당 여부를 합의 및 판단하여 그 결과를 기재하십시오.</t>
  </si>
  <si>
    <t>AI RMF 기반 세부 위험 정의</t>
  </si>
  <si>
    <t>번호</t>
  </si>
  <si>
    <t>위험(Lv1)</t>
  </si>
  <si>
    <t>위험(Lv2)</t>
  </si>
  <si>
    <t>위험(Lv3)</t>
  </si>
  <si>
    <t>위험 해당 여부
(Yes / No)</t>
  </si>
  <si>
    <t>위험 미해당 사유, 상세 위험 내용</t>
  </si>
  <si>
    <t>Warning Msg.</t>
  </si>
  <si>
    <t>업무 담당</t>
  </si>
  <si>
    <t>위험 평가 적정 여부
(Yes / No)</t>
  </si>
  <si>
    <t>상세 검토 의견</t>
  </si>
  <si>
    <t>합법성 원칙</t>
  </si>
  <si>
    <t>금융소비자보호법 위반 가능성</t>
  </si>
  <si>
    <t>AI 서비스기획</t>
  </si>
  <si>
    <t>AI기본법 위반 가능성</t>
  </si>
  <si>
    <t>데이터 관련법 위반 가능성</t>
  </si>
  <si>
    <t>개별 업권법 위반 가능성</t>
  </si>
  <si>
    <t>신뢰성 원칙</t>
  </si>
  <si>
    <t>품질</t>
  </si>
  <si>
    <t>AI 개발</t>
  </si>
  <si>
    <t>편향성</t>
  </si>
  <si>
    <t>공정성</t>
  </si>
  <si>
    <t>설명가능성</t>
  </si>
  <si>
    <t>설명 가능성/투명성 부족</t>
  </si>
  <si>
    <t>성능</t>
  </si>
  <si>
    <t>신의성실의 원칙</t>
  </si>
  <si>
    <t>계약 권리 침해</t>
  </si>
  <si>
    <t xml:space="preserve">책임 투명성 </t>
  </si>
  <si>
    <t>소비자 보호방안</t>
  </si>
  <si>
    <t>보안성 원칙</t>
  </si>
  <si>
    <t>보안</t>
  </si>
  <si>
    <t>데이터 유출</t>
  </si>
  <si>
    <t>무단 모델 추출 (Model Extraction)</t>
  </si>
  <si>
    <t>사이버 범죄 지원</t>
  </si>
  <si>
    <t>적대적 공격 취약성 (Evasion Attack)</t>
  </si>
  <si>
    <t>가짜 컨텐츠 사기 피해</t>
  </si>
  <si>
    <t xml:space="preserve">안정성 </t>
  </si>
  <si>
    <t>시스템 안정성</t>
  </si>
  <si>
    <t>위탁/관리</t>
  </si>
  <si>
    <t>AI 서비스 외부 위탁</t>
  </si>
  <si>
    <t>모델 외부위탁 위험</t>
  </si>
  <si>
    <t>프라이버시</t>
  </si>
  <si>
    <t>개인 식별 정보(PII) 노출</t>
  </si>
  <si>
    <t>모델 인버전 공격 (Model Inversion Attack)</t>
  </si>
  <si>
    <t>필요 이상 데이터 수집</t>
  </si>
  <si>
    <t>2. AI 위험 완화 방안 수립</t>
  </si>
  <si>
    <t>AI 개발 담당자 작성</t>
  </si>
  <si>
    <t>AI 거버넌스 담당자 작성</t>
  </si>
  <si>
    <t>1번에서 식별한 AI 위험을 완화하기 위한 방안 수립</t>
  </si>
  <si>
    <t>[작성 가이드]
- 엑셀의 노란색 영역(F, G, H 열)이 작성 영역입니다
- '위험 정의' 시트에 각 위험별 "완화방안(예시)"을 참고하여 AI 서비스의 완화 방안 적용 여부 및 상세 완화 방안 내용을 작성해 주세요
- 완화방안을 적용할 경우 F열에 Yes, 완화방안을 적용하지 않을 경우 F열에 No를 선택해 주세요.
- 완화 방안을 적용할 경우 (F열이 Yes인 경우) G열에 상세 완화 방안을 작성하고, 해당 완화 방안을 수행할 담당부서/수행주체를 H열에서 선택해 주세요.
- 위험 정의 시트에 각 위험별 "완화방안(예시"는 참고사항일 뿐이며, G열 상세 완화 방안은 완화 방안의 적용시점, 활용 도구/환경/기술, 위험 완화 효과 등을 포함하여 작성해 주세요
- I열의 Warning Msg.의 안내에 따라 필요시 답변을 재선택/재작성해주세요</t>
  </si>
  <si>
    <t>[작성 가이드]
- 엑설의 파란색 영역(K, L, M 열)이 작성 영역입니다
- AI개발담당자는 완화 방안(I열 참고)에 대해 완화 방안 적정 여부 평가 및 상세 검토 의견을 제시하고 K열에 소속명을 작성해 주세요. 필요 시 IT개발담당자 등 유관부서 담당자에게 요청하여 작성해주세요. 
- AI서비스기획담당자가 정의한 위험 인식 및 완화 방안 적용이 적정하다고 판단되는 경우 L열에 Yes, 보완이 필요하다고 판단되는 경우 L열에 No로 답변을 선택해 주세요
- 위험 인식 결과에 대해 보완이 필요하거나, 기타 의견이 있는 경우 M열에 상세 검토 의견을 작성해 주세요.   (예. "No"라고 답한 경우, 어떤 사항에 대해 보완이 필요한지 사유 작성)</t>
  </si>
  <si>
    <t>[작성 가이드]
- 엑설의 초록색 영역(P, Q 열)이 작성 영역입니다
- AI서비스기획담당자의 위험 인식 결과가 적정하다고 판단되는 경우 Yes, 보완이 필요하다고 판단되는 경우 No로 답변을 선택해 주시면 됩니다
- 위험 인식 결과에 대해 보완이 필요하거나, 기타 의견이 있는 경우 Q열에 상세 검토 의견을 작성해 주세요.    (예. "No"라고 답한 경우, 어떤 사항에 대해 보완이 필요한지 사유 작성)</t>
  </si>
  <si>
    <t>위험 식별 여부</t>
  </si>
  <si>
    <t>완화 방안 적용 여부
(Yes / No)</t>
  </si>
  <si>
    <t>상세 완화 방안</t>
  </si>
  <si>
    <t>담당부서/수행주체</t>
  </si>
  <si>
    <t>담당 소속명</t>
  </si>
  <si>
    <t>완화 방안 적정 여부
(Yes / No)</t>
  </si>
  <si>
    <t>3. 잔여 AI위험 평가</t>
  </si>
  <si>
    <t>AI서비스기획담당자 작성</t>
  </si>
  <si>
    <t>AI거버넌스담당자 작성</t>
  </si>
  <si>
    <t>2번에서 마련한 완화 방안의 적용에 따라 예상되는 잔여 위험 평가 수행</t>
  </si>
  <si>
    <t>[작성 가이드]
- 엑셀의 노란색 영역(K 열)이 작성 영역입니다
- '2. AI위험 완화 방안 수립' 시트에서 선택한 각 상세 완화 방안이 해당 위협을 어느정도 해소(완화)할 수 있는지 판단 후, 각 수준에 따라 잔여 위험을 평가하고 K열에 답변을 선택해 주세요
 (보기) 완전히 완화(○), 완화방안 적용 후에도 잔여 위험 존재(△), 완화방안 적용 후에도 위험 수준 동일(X)
- L열의 Warning Msg. 안내에 따라 필요 시 답변을 재선택/재작성해 주세요</t>
  </si>
  <si>
    <t>[작성 가이드]
- 엑설의 초록색 영역(O, P 열)이 작성 영역입니다
-  AI서비스기획부서의 위험 인식 결과가 적정하다고 판단되는 경우 Yes, 보완이 필요하다고 판단되는 경우 No로 답변을 선택해 주시면 됩니다
- 위험 인식 결과에 대해 보완이 필요하거나, 기타 의견이 있는 경우 P열에 상세 검토 의견을 작성해 주세요
   (예. "No"라고 답한 경우, 어떤 사항에 대해 보완이 필요한지 사유 작성)</t>
  </si>
  <si>
    <t>(1) 위험 인식 및 완화 방안 수립
(1. 위험 인식, 2. 완화 방안의 적용판단 Sheet와 결과 연동)</t>
  </si>
  <si>
    <t>(2) 잔여 위험 평가</t>
  </si>
  <si>
    <t>완화 방안 후 점수 계산</t>
  </si>
  <si>
    <t>위험 
해당 여부</t>
  </si>
  <si>
    <t>완화 방안 
적용 여부</t>
  </si>
  <si>
    <t>잔여 위험 평가 질의</t>
  </si>
  <si>
    <t>잔여 위험 수행 여부
(3개 보기 중 선택)</t>
  </si>
  <si>
    <t>잔여위험 평가 적정 여부
(Yes / No)</t>
  </si>
  <si>
    <t>인식 위험 점수</t>
  </si>
  <si>
    <t>위험 완화 가중치
(잔여 위험 평가결과)</t>
  </si>
  <si>
    <t>완화 방안 후 점수</t>
  </si>
  <si>
    <t>합계</t>
  </si>
  <si>
    <t>■ 위험 평가 결과 요약 (※ 자동 업데이트 됨, 작성 불필요)</t>
  </si>
  <si>
    <t>■ 위험 평가 검토 결과 요약 (※ 자동 업데이트 됨, 작성 불필요. '부적정' 결과는 각 시트에서 상세 검토의견 확인)</t>
  </si>
  <si>
    <t>위험 점수</t>
  </si>
  <si>
    <t>3. 잔여 AI 위험 평가</t>
  </si>
  <si>
    <t>Lv3 기준 위험 개수</t>
  </si>
  <si>
    <t>Lv3 기준 위험 점수 (최종)</t>
  </si>
  <si>
    <t>No.</t>
  </si>
  <si>
    <t>위험 완화방안 검토결과
(개발담당자 의견)</t>
  </si>
  <si>
    <t>위험 완화방안 검토결과
(AI거버넌스담당자 의견)</t>
  </si>
  <si>
    <t>잔여위험 평가검토 결과
(AI거버넌스담당자 의견)</t>
  </si>
  <si>
    <t>책임 투명성</t>
  </si>
  <si>
    <t>안정성</t>
  </si>
  <si>
    <t>데이터 접근 통제 미흡 : 데이터 저장소나 DB의 접근 권한이 과도하게 부여</t>
  </si>
  <si>
    <t>데이터 접근 로그 분석: 데이터 관리자 화면의 접근 로그를 통해 SSO 접근 통제 동작 여부 및 비인가 인원 접근 시도 확인</t>
  </si>
  <si>
    <t>최소 권한 원칙 적용: RBAC(역할 기반 접근 제어)을 적용하여 최소 권한만 부여</t>
  </si>
  <si>
    <t>전송 구간 암호화 부재 : 데이터가 이동하는 과정에서 평문으로 전송되어 스니핑(Sniffing) 공격에 노출</t>
  </si>
  <si>
    <t>패킷 캡처 및 트래픽 분석: 네트워크 구간에서 패킷 캡처 툴(Wireshark 등)을 이용한 평문 데이터 노출 여부 확인</t>
  </si>
  <si>
    <t>전송 구간 암호화: 데이터 전송 시 강력한 암호화 프로토콜 사용</t>
  </si>
  <si>
    <t>저장 데이터 비암호화 : 데이터 비암호화 처리로 공격에 대한 유출 위험</t>
  </si>
  <si>
    <t>암호화 적용 여부 감사: DB 암호화 / DRM 기능 설정 활성화 확인</t>
  </si>
  <si>
    <t>저장 시 암호화: AES-256 등 표준 알고리즘을 사용하여 데이터 저장 시 암호화 적용</t>
  </si>
  <si>
    <t>쿼리 패턴 모니터링 부재: 공격자가 합성 데이터나 특이한 분포의 데이터를 반복적으로 입력하는 것을 탐지하는 시스템 부재</t>
  </si>
  <si>
    <t>부하 테스트 도구를 이용한 반복 쿼리 요청: 도구(Locust, LoadRunner 등)를 이용하여 실제 사용자가 AI 모델을 사용하는 것과 유사한 사용량을 짧은 시간에 다량 발생시켰을 때 해당 공격 감지 여부</t>
  </si>
  <si>
    <t>출력값 제한: 단순 사용자 활용 범위 이상의 반복적이고 대량의 쿼리를 막을 수 있도록 사용자별 사용 횟수 및 토큰 제한</t>
  </si>
  <si>
    <t>대량 쿼리 인증 강화: 대량 쿼리 요청이 필요한 경우, 기업 인증을 거친 고객에게만 접근 허용</t>
  </si>
  <si>
    <t>접근 장벽 부재: AI 모델에 접근할 수 있는 계정 생성이 쉽고 공격자가 비용 부담 없이 대규모 쿼리 수행 가능</t>
  </si>
  <si>
    <t>사용자 의도 식별 불가: AI 모델은 텍스트만 가지고 의도를 파악하므로, 사용자가 순수한 의도인지 공격을 위한 의도인지 맥락 파악이 쉽지 않음</t>
  </si>
  <si>
    <t>사이버 범죄 프롬프트 생성 레드티밍: 공격 프롬프트 생성을 자동화는 레드티밍 솔루션을 활용하여 사이버 범죄 프롬프트 생성</t>
  </si>
  <si>
    <t>사이버 범죄 탐지 차단: 사이버 범죄 지원 요청을 판단하여 차단하고 모니터링 (데이터 편향 판단의 일종)</t>
  </si>
  <si>
    <t>모델의 과도한 일반화: AI 모델이 상향 평준화되어 일반적 지시를 조합해 악성 행위를 쉽게 구현해낼 수 있음</t>
  </si>
  <si>
    <t>안전 정렬의 불완전성: 모델을 안전하게 만들려는 RLHF(인간 피드백 강화 학습) 과정에서, 사이버 보안 영역에 대한 학습 데이터 부족</t>
  </si>
  <si>
    <t>직접 프롬프트 주입 (Direct Prompt Injection): 사용자가 시스템 명령어를 무시하도록 지시하거나, 모델의 역할을 강제로 변경하여 악성 명령 수행</t>
  </si>
  <si>
    <t>적대적 공격 생성 레드티밍: 공격 프롬프트 생성을 자동화는 레드티밍 솔루션을 활용하여 적대적 공격 패턴 생성 및 공격 시도</t>
  </si>
  <si>
    <t>입력 의도 분석: 사용자 질문이 들어오면 AI 모델에 프롬프트를 전달하기 전에 별도의 AI 모델이 공격 의도를 판단하고 차단</t>
  </si>
  <si>
    <t>적대적 공격 생성 레드티밍: 공격 프롬프트 생성을 자동화는 레드티밍 솔루션을 활용하여 적대적 공격 패턴 생성 및 공격 시도</t>
    <phoneticPr fontId="10" type="noConversion"/>
  </si>
  <si>
    <t>탈옥 (Jailbreaking): 모델에게 가상의 상황을 부여하거나 논리적인 함정을 파서 안전 장치를 우회</t>
  </si>
  <si>
    <t>간접 프롬프트 주입 (Indirect Prompt Injection): 공격자가 웹사이트, 이메일, 문서 등에 악성 프롬프트를 숨겨놓고 AI가 이를 수행할 떄 감염</t>
  </si>
  <si>
    <t>출력 파싱 제한: AI가 생성한 텍스트에서 실행 가능한 코드나 URL을 자동으로 마스킹하거나 실행 불가능한 텍스트로 변환</t>
  </si>
  <si>
    <t>자원 고갈 및 오토스케일링 실패: 스케일 아웃 속도가 느려 트래픽 급증 시 대응 실패 가능성</t>
  </si>
  <si>
    <t>부하 테스트: 도구(Locust, LoadRunner 등)를 이용하여 실제 사용자가 AI 모델을 사용하는 것과 유사한 사용량 이상을 강제로 발생시켰을 때 시스템이 안전한지 확인 가능</t>
    <phoneticPr fontId="10" type="noConversion"/>
  </si>
  <si>
    <t>이중화 적용: AI 모델 뿐만 아니라 GPU 서버, RAG 등 시스템에 필요한 모든 요소에 대해서 이중화 구성</t>
  </si>
  <si>
    <t>시스템 복구 절차 운영: 시스템 장애 시 복구를 위한 절차 수립 및 모의 훈련 실시 등을 통한 안정성 확보</t>
    <phoneticPr fontId="10" type="noConversion"/>
  </si>
  <si>
    <t>비즈니스 연속성 및 재해복구(BCDR) 평가: AI 서비스 및 모델에 대한 비즈니스 연속성 및 재해복구(BCDR) 계획을 수립하고 적용하고 있는지 평가</t>
  </si>
  <si>
    <t>비즈니스 연속성 및 재해복구(BCDR) 평가: AI 서비스 및 모델에 대한 비즈니스 연속성 및 재해복구(BCDR) 계획을 수립하고 적용하고 있는지 평가</t>
    <phoneticPr fontId="10" type="noConversion"/>
  </si>
  <si>
    <t>이중화 미적용: AI 시스템 구성 요소 중 이중화되지 않은 영역에 장애 발생 시 전체 서비스 중단 등 영향이 발생</t>
  </si>
  <si>
    <t>이중화 적용: AI 모델 뿐만 아니라 GPU 서버, RAG 등 시스템에 필요한 모든 요소에 대해서 이중화 구성</t>
    <phoneticPr fontId="10" type="noConversion"/>
  </si>
  <si>
    <t>외부 모델 오류: OpenAI, Anthropic 같은 외부 상용 모델을 연동할 경우, 해당 모델 자체에서 문제가 발생하여 서비스가 중단되는 경우</t>
  </si>
  <si>
    <t>Multi-LLM 구성: 여러 모델을 사용하여 하나의 모델이 문제가 발생했을 때 다른 모델이 즉시 역할을 대체할 수 있는 구조 마련</t>
    <phoneticPr fontId="10" type="noConversion"/>
  </si>
  <si>
    <t>학습된 내용이 유출: LLM 학습에 사용된 데이터 중 존재하는 개인 정보가 노출</t>
  </si>
  <si>
    <t>PII 생성 유발 레드티밍: 공격 프롬프트 생성을 자동화는 레드티밍 솔루션을 활용하여 PII 유출을 시도</t>
  </si>
  <si>
    <t>가명화 및 익명화: 개인 식별 정보를 탐지 후 알아볼 수 없도록 마스킹 처리 또는 변경</t>
  </si>
  <si>
    <t>접근 권한 관리 적용: 역할 기반 접근 제어(RBAC)를 도입하여 권한이 있는 경우만 개인 정보 표시</t>
  </si>
  <si>
    <t>훈련 데이터 추론: 반복 질문으로 모델 학습에 사용된 데이터 획득 가능</t>
  </si>
  <si>
    <t>내부 정보 노출: 회사 운영 방식이 노출되어 LLM 을 통해서 학습</t>
  </si>
  <si>
    <t>과적합 및 암기: 모델이 학습 데이터의 일반적인 패턴뿐만 아니라, 특정 개인의 고유한 특징까지 과도하게 암기</t>
  </si>
  <si>
    <t>고정밀 신뢰도 점수 제공: 소수점 단위의 정밀한 확률값을 제공하면 공격자는 확률값이 높아지는 방향으로 원본 재구성 가능</t>
  </si>
  <si>
    <t>가짜 콘텐츠와 딥페이크 위험 증가: AI 기술로 제작된 정교한 허위 정보와 딥페이크로 인한 사회적 혼란 및 사기 피해 확산</t>
  </si>
  <si>
    <t>오용 사례 모니터링 및 대응 체계 점검: 실제 서비스 운영 중 발생할 수 있는 오용 사례에 대한 모니터링 및 신속한 대응 체계 점검</t>
  </si>
  <si>
    <t>투명성 기반 출처 검증 체계 구축: AI 생성 콘텐츠에 워터마 크와 메타데이터를 삽입하여 출처를 명확히 하고, 진위 여부를 검증할 수 있는 체계 마련</t>
  </si>
  <si>
    <t>불법 악용 입력 유도: 사용자 입력에 따라 유해하거나 불법적인 콘텐츠 생성을 유도하는 공격</t>
  </si>
  <si>
    <t>입력 패턴 분석 및 필터링 테스트: 악의적인 입력 패턴을 식별하고 차단하기 위한 필터링 시스템 테스트 수행</t>
  </si>
  <si>
    <t>불법·악용 입력 차단 정책 적용: 유해하거나 불법적인 콘 텐츠 생성을 유도하는 입력을 사전에 필터링하고 차단하는 강력한 정책 적용</t>
  </si>
  <si>
    <t>콘텐츠 악용 및 2차 피해: 생성된 콘텐츠가 본래 목적과 다르게 사용되어 발생하는 명예훼손, 저작권 침해 등의 피해</t>
  </si>
  <si>
    <t>사용자 고지 및 책임 인식 강화: AI 생성 콘텐츠의 오용 위험을 사용자에게 명확히 고지하고, 책임 있는 사용을 유도하기 위한 교육 및 캠페인 실시</t>
  </si>
  <si>
    <t>공급망 보안 취약성 (Supply Chain Risk): 위탁 업체가 제공하는 라이브러리, API 또는 인프라의 보안이 취약하여 자사 데이터가 유출되거나 백도어(Backdoor) 공격을 받을 위험</t>
  </si>
  <si>
    <t>LA(서비스 수준 약정) 준수율 측정: 위탁 업체가 약정한 응답 시간, 가용성(Uptime) 등의 지표가 실제 운영 데이터와 일치하는지 정량적으로 측정</t>
  </si>
  <si>
    <t>데이터 익명화 적용: 외부 위탁 서버로 데이터를 전송하기 전, 개인정보(PII)를 비식별화하거나 차등 프라이버시(Differential Privacy) 기술을 적용하여 유출 리스크를 원천 차단</t>
  </si>
  <si>
    <t>데이터 주권 및 개인정보 유출: 학습용 데이터나 실시간 입력값이 외부 업체의 서버로 전송되는 과정에서 비인가 접근이 발생하거나, 계약 범위를 넘어선 데이터 재사용이 일어날 위험</t>
  </si>
  <si>
    <t>외부 모델 견고성 테스트: 위탁받은 모델을 대상으로 적대적 공격 취약성 및 편향성 레드티밍을 실시하여 자사 보안 기준을 충족하는지 검증</t>
  </si>
  <si>
    <t>평가시스템: 위탁 모델의 보안 평가 및 모델 평가 결과를 산출하여, 기준 미달 시 시스템적으로 서비스 배포를 차단</t>
  </si>
  <si>
    <t>서비스 연속성 및 가용성 위험: 위탁 업체의 경영 악화, 기술 지원 중단, 또는 서버 장애 시 자사의 AI 서비스가 중단되어 비즈니스 마비가 초래될 위험</t>
  </si>
  <si>
    <t>해시 기반 정합성(HIC-Score) 측정: 외부 업체와의 데이터 송수신 전후 해시값을 비교하여 데이터의 변조나 누락 여부를 자동 탐지</t>
  </si>
  <si>
    <t>관리시스템: AI 서비스 개발계획 및 서비스 승인 단계에서 외부 위탁 여부를 식별하고, 관련 업체 평가서 및 계약 증적을 관리</t>
  </si>
  <si>
    <t>SLA(서비스 수준 약정) 준수율 측정: 위탁 업체가 약정한 응답 시간, 가용성(Uptime) 등의 지표가 실제 운영 데이터와 일치하는지 정량적으로 측정</t>
  </si>
  <si>
    <t>계약 기반 R&amp;R 명확화: 위탁 업체와 계약 체결 시 책임 한계(보안 사고 시 배상, 데이터 처리 권한 등)를 명문화하고 관리 시스템에 증적 관리</t>
  </si>
  <si>
    <t>목적 외 데이터 수집: 특정 기능을 수행하기 위해 동의받은 범위를 넘어, 향후 모델 학습이나 마케팅 등을 목적으로 불필요한 개인정보까지 수집하는 위험</t>
  </si>
  <si>
    <t>데이터 최소화 원칙(Data Minimization) 준수 점검: 수집 중인 데이터 항목이 서비스의 목적달성에 필수적인지 여부를 체크리스트 기반으로 평가하여 준수 지수(Compliance Score)를 산출</t>
  </si>
  <si>
    <t>관리시스템: 서비스 기획 및 AI 서비스 개발계획 단계에서 데이터 수집 범위를 확정하고 승인 절차 수행</t>
  </si>
  <si>
    <t>과도한 감시 및 프로파일링: AI가 사용자의 위치, 검색 기록, 소셜 미디어 활동 등을 실시간으로 수집하여 개별 사용자의 성향이나</t>
  </si>
  <si>
    <t>개인정보 영향평가(DPIA) 연동: 관리시스템 내의 'AI 위험/영향/안정성 식별/평가' 단계에서 데이터 수집이 프라이버시에 미치는 영향을 사전에 수치화</t>
  </si>
  <si>
    <t>평가시스템: 실제 운영 중 수집되는 데이터가 승인된 항목과 일치하는지 기술적으로 검증하고, 초과 수집 발생 시 관리자에게 즉시 알림을 발송</t>
  </si>
  <si>
    <t>데이터 오남용 리스크:  수집된 방대한 데이터가 안전하게 관리되지 않을 경우, 유출 시 피해 규모가 걷잡을 수 없이 커지며 제3자에게 무단으로 제공될 가능성이 존재</t>
  </si>
  <si>
    <t>데이터 생명주기 모니터링: 수집된 데이터의 보관 기간, 파기 절차, 접근 권한 관리 현황을 정기적으로 감사하여 평가 이력 관리 모듈에 기록</t>
  </si>
  <si>
    <t>대분류 (Level 1)</t>
  </si>
  <si>
    <t>중분류 (Level 2)</t>
  </si>
  <si>
    <t>■ 위험-평가방안-완화방안 맵핑</t>
    <phoneticPr fontId="10" type="noConversion"/>
  </si>
  <si>
    <t>설명가능성/투명성 부족</t>
  </si>
  <si>
    <t>XAI 충실도 점수 (Faithfulness Score) 사용 평가 수행
XAI 충실도 점수 산식: 설명 모델(SHAP 등)이 제시한 중요도와 실제 모델의 입력값 변화에 따른 출력값 변화의 상관계수를 측정.
기준: 점수 0.9 이상일 때 설명의 신뢰도가 높다고 판단</t>
    <phoneticPr fontId="10" type="noConversion"/>
  </si>
  <si>
    <t>종속성 관리 및 출구 전략(Exit Strategy): 특정 업체에 대한 기술 종속(Lock-in)을 방지하기 위해 대체 솔루션을 확보하거나, 위탁 종료 시 데이터를 온전히 회수할 수 있는 절차를 수립</t>
    <phoneticPr fontId="10" type="noConversion"/>
  </si>
  <si>
    <t>설명 가능한 AI(XAI) 워크플로우 의무화: 
결정 결과와 함께 핵심 변수 3~5개를 소비자 화면에 자동으로 노출하는 기능을 설계 단계(ITSM)에서 필수화</t>
  </si>
  <si>
    <t>데이터 익명화 적용: 외부 위탁 서버로 데이터를 전송하기 전, 개인정보(PII)를 비식별화하거나 차등 프라이버시(Differential Privacy) 기술을 적용하여 유출 리스크를 원천 차단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</si>
</sst>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77" formatCode="#"/>
  </numFmts>
  <fonts count="18">
    <font>
      <sz val="11"/>
      <color theme="1"/>
      <name val="Malgun Gothic"/>
      <scheme val="minor"/>
    </font>
    <font>
      <sz val="11"/>
      <color theme="1"/>
      <name val="Malgun Gothic"/>
      <family val="3"/>
      <charset val="129"/>
      <scheme val="minor"/>
    </font>
    <font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sz val="14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b/>
      <i/>
      <u/>
      <sz val="11"/>
      <color theme="1"/>
      <name val="Malgun Gothic"/>
      <family val="3"/>
      <charset val="129"/>
    </font>
    <font>
      <b/>
      <i/>
      <u/>
      <sz val="11"/>
      <color theme="1"/>
      <name val="Malgun Gothic"/>
      <family val="3"/>
      <charset val="129"/>
    </font>
    <font>
      <sz val="8"/>
      <name val="Malgun Gothic"/>
      <family val="3"/>
      <charset val="129"/>
      <scheme val="minor"/>
    </font>
    <font>
      <b/>
      <sz val="11"/>
      <color theme="1"/>
      <name val="Malgun Gothic"/>
      <family val="3"/>
      <charset val="129"/>
      <scheme val="minor"/>
    </font>
    <font>
      <b/>
      <sz val="11"/>
      <color theme="0"/>
      <name val="Malgun Gothic"/>
      <family val="3"/>
      <charset val="129"/>
      <scheme val="minor"/>
    </font>
    <font>
      <sz val="11"/>
      <color rgb="FF000000"/>
      <name val="Malgun Gothic"/>
      <family val="3"/>
      <charset val="129"/>
      <scheme val="minor"/>
    </font>
    <font>
      <b/>
      <sz val="11"/>
      <name val="Malgun Gothic"/>
      <family val="3"/>
      <charset val="129"/>
      <scheme val="minor"/>
    </font>
    <font>
      <sz val="11"/>
      <name val="Malgun Gothic"/>
      <family val="3"/>
      <charset val="129"/>
      <scheme val="minor"/>
    </font>
    <font>
      <b/>
      <sz val="11"/>
      <color theme="1"/>
      <name val="Malgun Gothic"/>
      <scheme val="minor"/>
    </font>
    <font>
      <sz val="11"/>
      <color theme="1"/>
      <name val="Malgun Gothic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043B72"/>
        <bgColor rgb="FF043B7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2"/>
  </cellStyleXfs>
  <cellXfs count="6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left" vertical="center"/>
    </xf>
    <xf numFmtId="177" fontId="2" fillId="6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4" borderId="12" xfId="0" applyFont="1" applyFill="1" applyBorder="1" applyAlignment="1">
      <alignment horizontal="left" vertical="top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1" fillId="2" borderId="12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1" fillId="0" borderId="12" xfId="0" applyFont="1" applyFill="1" applyBorder="1" applyAlignment="1">
      <alignment vertical="center" wrapText="1"/>
    </xf>
  </cellXfs>
  <cellStyles count="2">
    <cellStyle name="Normal" xfId="0" builtinId="0"/>
    <cellStyle name="Normal 2" xfId="1" xr:uid="{35A04380-F41F-4604-833B-BE66CA169F77}"/>
  </cellStyles>
  <dxfs count="10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theme="1"/>
          <bgColor theme="1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rgb="FFFFCCCC"/>
          <bgColor rgb="FFFFCCCC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9F7"/>
  </sheetPr>
  <dimension ref="B1:G1044"/>
  <sheetViews>
    <sheetView tabSelected="1" zoomScale="55" zoomScaleNormal="55" workbookViewId="0">
      <pane xSplit="1" ySplit="4" topLeftCell="B101" activePane="bottomRight" state="frozen"/>
      <selection pane="topRight" activeCell="C1" sqref="C1"/>
      <selection pane="bottomLeft" activeCell="A4" sqref="A4"/>
      <selection pane="bottomRight" activeCell="G106" sqref="G106"/>
    </sheetView>
  </sheetViews>
  <sheetFormatPr defaultColWidth="12.59765625" defaultRowHeight="15" customHeight="1"/>
  <cols>
    <col min="1" max="1" width="3.19921875" customWidth="1"/>
    <col min="2" max="2" width="16.09765625" customWidth="1"/>
    <col min="3" max="3" width="28.59765625" customWidth="1"/>
    <col min="4" max="4" width="38.8984375" customWidth="1"/>
    <col min="5" max="7" width="47.3984375" style="45" customWidth="1"/>
    <col min="8" max="28" width="8.59765625" customWidth="1"/>
  </cols>
  <sheetData>
    <row r="1" spans="2:7" ht="17.25" customHeight="1"/>
    <row r="2" spans="2:7" ht="17.25" customHeight="1">
      <c r="B2" s="54" t="s">
        <v>359</v>
      </c>
      <c r="E2" s="46"/>
      <c r="F2" s="46"/>
      <c r="G2" s="46"/>
    </row>
    <row r="3" spans="2:7" ht="17.25" customHeight="1">
      <c r="E3" s="46"/>
      <c r="F3" s="46"/>
      <c r="G3" s="46"/>
    </row>
    <row r="4" spans="2:7" ht="17.25" customHeight="1">
      <c r="B4" s="43" t="s">
        <v>357</v>
      </c>
      <c r="C4" s="43" t="s">
        <v>358</v>
      </c>
      <c r="D4" s="42" t="s">
        <v>0</v>
      </c>
      <c r="E4" s="47" t="s">
        <v>1</v>
      </c>
      <c r="F4" s="47" t="s">
        <v>2</v>
      </c>
      <c r="G4" s="47" t="s">
        <v>3</v>
      </c>
    </row>
    <row r="5" spans="2:7" ht="82.8" customHeight="1">
      <c r="B5" s="37" t="s">
        <v>209</v>
      </c>
      <c r="C5" s="37" t="s">
        <v>210</v>
      </c>
      <c r="D5" s="37" t="s">
        <v>4</v>
      </c>
      <c r="E5" s="48" t="s">
        <v>5</v>
      </c>
      <c r="F5" s="48" t="s">
        <v>6</v>
      </c>
      <c r="G5" s="48" t="s">
        <v>7</v>
      </c>
    </row>
    <row r="6" spans="2:7" ht="82.8" customHeight="1">
      <c r="B6" s="37" t="s">
        <v>209</v>
      </c>
      <c r="C6" s="37" t="s">
        <v>210</v>
      </c>
      <c r="D6" s="37" t="s">
        <v>4</v>
      </c>
      <c r="E6" s="48" t="s">
        <v>5</v>
      </c>
      <c r="F6" s="49" t="s">
        <v>8</v>
      </c>
      <c r="G6" s="49" t="s">
        <v>9</v>
      </c>
    </row>
    <row r="7" spans="2:7" ht="82.8" customHeight="1">
      <c r="B7" s="37" t="s">
        <v>209</v>
      </c>
      <c r="C7" s="37" t="s">
        <v>210</v>
      </c>
      <c r="D7" s="37" t="s">
        <v>4</v>
      </c>
      <c r="E7" s="49" t="s">
        <v>10</v>
      </c>
      <c r="F7" s="49" t="s">
        <v>11</v>
      </c>
      <c r="G7" s="49" t="s">
        <v>9</v>
      </c>
    </row>
    <row r="8" spans="2:7" ht="82.8" customHeight="1">
      <c r="B8" s="37" t="s">
        <v>209</v>
      </c>
      <c r="C8" s="37" t="s">
        <v>210</v>
      </c>
      <c r="D8" s="36" t="s">
        <v>12</v>
      </c>
      <c r="E8" s="49" t="s">
        <v>13</v>
      </c>
      <c r="F8" s="49" t="s">
        <v>14</v>
      </c>
      <c r="G8" s="49" t="s">
        <v>15</v>
      </c>
    </row>
    <row r="9" spans="2:7" ht="82.8" customHeight="1">
      <c r="B9" s="37" t="s">
        <v>209</v>
      </c>
      <c r="C9" s="37" t="s">
        <v>210</v>
      </c>
      <c r="D9" s="36" t="s">
        <v>12</v>
      </c>
      <c r="E9" s="49" t="s">
        <v>13</v>
      </c>
      <c r="F9" s="49" t="s">
        <v>16</v>
      </c>
      <c r="G9" s="49" t="s">
        <v>17</v>
      </c>
    </row>
    <row r="10" spans="2:7" ht="82.8" customHeight="1">
      <c r="B10" s="37" t="s">
        <v>209</v>
      </c>
      <c r="C10" s="37" t="s">
        <v>210</v>
      </c>
      <c r="D10" s="36" t="s">
        <v>12</v>
      </c>
      <c r="E10" s="49" t="s">
        <v>18</v>
      </c>
      <c r="F10" s="49" t="s">
        <v>19</v>
      </c>
      <c r="G10" s="49" t="s">
        <v>20</v>
      </c>
    </row>
    <row r="11" spans="2:7" ht="82.8" customHeight="1">
      <c r="B11" s="37" t="s">
        <v>209</v>
      </c>
      <c r="C11" s="37" t="s">
        <v>210</v>
      </c>
      <c r="D11" s="36" t="s">
        <v>12</v>
      </c>
      <c r="E11" s="49" t="s">
        <v>21</v>
      </c>
      <c r="F11" s="49" t="s">
        <v>22</v>
      </c>
      <c r="G11" s="67" t="s">
        <v>363</v>
      </c>
    </row>
    <row r="12" spans="2:7" ht="82.8" customHeight="1">
      <c r="B12" s="37" t="s">
        <v>209</v>
      </c>
      <c r="C12" s="37" t="s">
        <v>212</v>
      </c>
      <c r="D12" s="36" t="s">
        <v>23</v>
      </c>
      <c r="E12" s="49" t="s">
        <v>24</v>
      </c>
      <c r="F12" s="49" t="s">
        <v>25</v>
      </c>
      <c r="G12" s="49" t="s">
        <v>26</v>
      </c>
    </row>
    <row r="13" spans="2:7" ht="82.8" customHeight="1">
      <c r="B13" s="37" t="s">
        <v>209</v>
      </c>
      <c r="C13" s="37" t="s">
        <v>212</v>
      </c>
      <c r="D13" s="36" t="s">
        <v>23</v>
      </c>
      <c r="E13" s="49" t="s">
        <v>27</v>
      </c>
      <c r="F13" s="49" t="s">
        <v>28</v>
      </c>
      <c r="G13" s="49" t="s">
        <v>29</v>
      </c>
    </row>
    <row r="14" spans="2:7" ht="82.8" customHeight="1">
      <c r="B14" s="37" t="s">
        <v>209</v>
      </c>
      <c r="C14" s="37" t="s">
        <v>212</v>
      </c>
      <c r="D14" s="36" t="s">
        <v>23</v>
      </c>
      <c r="E14" s="49" t="s">
        <v>30</v>
      </c>
      <c r="F14" s="49" t="s">
        <v>31</v>
      </c>
      <c r="G14" s="49" t="s">
        <v>32</v>
      </c>
    </row>
    <row r="15" spans="2:7" ht="82.8" customHeight="1">
      <c r="B15" s="37" t="s">
        <v>209</v>
      </c>
      <c r="C15" s="37" t="s">
        <v>212</v>
      </c>
      <c r="D15" s="36" t="s">
        <v>23</v>
      </c>
      <c r="E15" s="49" t="s">
        <v>33</v>
      </c>
      <c r="F15" s="49" t="s">
        <v>34</v>
      </c>
      <c r="G15" s="49" t="s">
        <v>35</v>
      </c>
    </row>
    <row r="16" spans="2:7" ht="82.8" customHeight="1">
      <c r="B16" s="37" t="s">
        <v>209</v>
      </c>
      <c r="C16" s="37" t="s">
        <v>213</v>
      </c>
      <c r="D16" s="44" t="s">
        <v>44</v>
      </c>
      <c r="E16" s="49" t="s">
        <v>36</v>
      </c>
      <c r="F16" s="49" t="s">
        <v>37</v>
      </c>
      <c r="G16" s="49" t="s">
        <v>38</v>
      </c>
    </row>
    <row r="17" spans="2:7" ht="82.8" customHeight="1">
      <c r="B17" s="37" t="s">
        <v>209</v>
      </c>
      <c r="C17" s="37" t="s">
        <v>213</v>
      </c>
      <c r="D17" s="44" t="s">
        <v>44</v>
      </c>
      <c r="E17" s="49" t="s">
        <v>39</v>
      </c>
      <c r="F17" s="49" t="s">
        <v>40</v>
      </c>
      <c r="G17" s="49" t="s">
        <v>38</v>
      </c>
    </row>
    <row r="18" spans="2:7" ht="82.8" customHeight="1">
      <c r="B18" s="37" t="s">
        <v>209</v>
      </c>
      <c r="C18" s="37" t="s">
        <v>213</v>
      </c>
      <c r="D18" s="44" t="s">
        <v>44</v>
      </c>
      <c r="E18" s="49" t="s">
        <v>41</v>
      </c>
      <c r="F18" s="49" t="s">
        <v>42</v>
      </c>
      <c r="G18" s="49" t="s">
        <v>43</v>
      </c>
    </row>
    <row r="19" spans="2:7" ht="82.8" customHeight="1">
      <c r="B19" s="37" t="s">
        <v>209</v>
      </c>
      <c r="C19" s="37" t="s">
        <v>213</v>
      </c>
      <c r="D19" s="44" t="s">
        <v>44</v>
      </c>
      <c r="E19" s="50" t="s">
        <v>41</v>
      </c>
      <c r="F19" s="50" t="s">
        <v>45</v>
      </c>
      <c r="G19" s="50" t="s">
        <v>46</v>
      </c>
    </row>
    <row r="20" spans="2:7" ht="82.8" customHeight="1">
      <c r="B20" s="37" t="s">
        <v>209</v>
      </c>
      <c r="C20" s="37" t="s">
        <v>213</v>
      </c>
      <c r="D20" s="38" t="s">
        <v>47</v>
      </c>
      <c r="E20" s="50" t="s">
        <v>48</v>
      </c>
      <c r="F20" s="50" t="s">
        <v>49</v>
      </c>
      <c r="G20" s="50" t="s">
        <v>50</v>
      </c>
    </row>
    <row r="21" spans="2:7" ht="82.8" customHeight="1">
      <c r="B21" s="37" t="s">
        <v>209</v>
      </c>
      <c r="C21" s="37" t="s">
        <v>213</v>
      </c>
      <c r="D21" s="38" t="s">
        <v>47</v>
      </c>
      <c r="E21" s="50" t="s">
        <v>51</v>
      </c>
      <c r="F21" s="50" t="s">
        <v>52</v>
      </c>
      <c r="G21" s="50" t="s">
        <v>53</v>
      </c>
    </row>
    <row r="22" spans="2:7" ht="82.8" customHeight="1">
      <c r="B22" s="37" t="s">
        <v>209</v>
      </c>
      <c r="C22" s="37" t="s">
        <v>214</v>
      </c>
      <c r="D22" s="38" t="s">
        <v>54</v>
      </c>
      <c r="E22" s="50" t="s">
        <v>55</v>
      </c>
      <c r="F22" s="50" t="s">
        <v>56</v>
      </c>
      <c r="G22" s="50" t="s">
        <v>57</v>
      </c>
    </row>
    <row r="23" spans="2:7" ht="82.8" customHeight="1">
      <c r="B23" s="37" t="s">
        <v>209</v>
      </c>
      <c r="C23" s="37" t="s">
        <v>214</v>
      </c>
      <c r="D23" s="38" t="s">
        <v>54</v>
      </c>
      <c r="E23" s="50" t="s">
        <v>55</v>
      </c>
      <c r="F23" s="50" t="s">
        <v>58</v>
      </c>
      <c r="G23" s="50" t="s">
        <v>59</v>
      </c>
    </row>
    <row r="24" spans="2:7" ht="82.8" customHeight="1">
      <c r="B24" s="37" t="s">
        <v>209</v>
      </c>
      <c r="C24" s="37" t="s">
        <v>214</v>
      </c>
      <c r="D24" s="38" t="s">
        <v>54</v>
      </c>
      <c r="E24" s="50" t="s">
        <v>60</v>
      </c>
      <c r="F24" s="50" t="s">
        <v>58</v>
      </c>
      <c r="G24" s="50" t="s">
        <v>59</v>
      </c>
    </row>
    <row r="25" spans="2:7" ht="82.8" customHeight="1">
      <c r="B25" s="37" t="s">
        <v>209</v>
      </c>
      <c r="C25" s="37" t="s">
        <v>214</v>
      </c>
      <c r="D25" s="38" t="s">
        <v>54</v>
      </c>
      <c r="E25" s="50" t="s">
        <v>61</v>
      </c>
      <c r="F25" s="50" t="s">
        <v>58</v>
      </c>
      <c r="G25" s="50" t="s">
        <v>59</v>
      </c>
    </row>
    <row r="26" spans="2:7" ht="82.8" customHeight="1">
      <c r="B26" s="37" t="s">
        <v>209</v>
      </c>
      <c r="C26" s="37" t="s">
        <v>214</v>
      </c>
      <c r="D26" s="38" t="s">
        <v>54</v>
      </c>
      <c r="E26" s="50" t="s">
        <v>62</v>
      </c>
      <c r="F26" s="50" t="s">
        <v>58</v>
      </c>
      <c r="G26" s="50" t="s">
        <v>59</v>
      </c>
    </row>
    <row r="27" spans="2:7" ht="82.8" customHeight="1">
      <c r="B27" s="37" t="s">
        <v>215</v>
      </c>
      <c r="C27" s="37" t="s">
        <v>216</v>
      </c>
      <c r="D27" s="36" t="s">
        <v>91</v>
      </c>
      <c r="E27" s="49" t="s">
        <v>92</v>
      </c>
      <c r="F27" s="49" t="s">
        <v>93</v>
      </c>
      <c r="G27" s="49" t="s">
        <v>94</v>
      </c>
    </row>
    <row r="28" spans="2:7" ht="82.8" customHeight="1">
      <c r="B28" s="37" t="s">
        <v>215</v>
      </c>
      <c r="C28" s="37" t="s">
        <v>216</v>
      </c>
      <c r="D28" s="36" t="s">
        <v>91</v>
      </c>
      <c r="E28" s="49" t="s">
        <v>95</v>
      </c>
      <c r="F28" s="49" t="s">
        <v>96</v>
      </c>
      <c r="G28" s="49" t="s">
        <v>97</v>
      </c>
    </row>
    <row r="29" spans="2:7" ht="82.8" customHeight="1">
      <c r="B29" s="37" t="s">
        <v>215</v>
      </c>
      <c r="C29" s="37" t="s">
        <v>216</v>
      </c>
      <c r="D29" s="36" t="s">
        <v>98</v>
      </c>
      <c r="E29" s="49" t="s">
        <v>99</v>
      </c>
      <c r="F29" s="49" t="s">
        <v>100</v>
      </c>
      <c r="G29" s="49" t="s">
        <v>101</v>
      </c>
    </row>
    <row r="30" spans="2:7" ht="82.8" customHeight="1">
      <c r="B30" s="37" t="s">
        <v>215</v>
      </c>
      <c r="C30" s="37" t="s">
        <v>216</v>
      </c>
      <c r="D30" s="36" t="s">
        <v>98</v>
      </c>
      <c r="E30" s="49" t="s">
        <v>102</v>
      </c>
      <c r="F30" s="49" t="s">
        <v>100</v>
      </c>
      <c r="G30" s="49" t="s">
        <v>103</v>
      </c>
    </row>
    <row r="31" spans="2:7" ht="82.8" customHeight="1">
      <c r="B31" s="37" t="s">
        <v>215</v>
      </c>
      <c r="C31" s="37" t="s">
        <v>216</v>
      </c>
      <c r="D31" s="36" t="s">
        <v>98</v>
      </c>
      <c r="E31" s="49" t="s">
        <v>104</v>
      </c>
      <c r="F31" s="49" t="s">
        <v>100</v>
      </c>
      <c r="G31" s="49" t="s">
        <v>105</v>
      </c>
    </row>
    <row r="32" spans="2:7" ht="82.8" customHeight="1">
      <c r="B32" s="37" t="s">
        <v>215</v>
      </c>
      <c r="C32" s="37" t="s">
        <v>216</v>
      </c>
      <c r="D32" s="38" t="s">
        <v>63</v>
      </c>
      <c r="E32" s="50" t="s">
        <v>64</v>
      </c>
      <c r="F32" s="50" t="s">
        <v>65</v>
      </c>
      <c r="G32" s="50" t="s">
        <v>66</v>
      </c>
    </row>
    <row r="33" spans="2:7" ht="82.8" customHeight="1">
      <c r="B33" s="37" t="s">
        <v>215</v>
      </c>
      <c r="C33" s="37" t="s">
        <v>218</v>
      </c>
      <c r="D33" s="38" t="s">
        <v>67</v>
      </c>
      <c r="E33" s="50" t="s">
        <v>68</v>
      </c>
      <c r="F33" s="50" t="s">
        <v>69</v>
      </c>
      <c r="G33" s="50" t="s">
        <v>70</v>
      </c>
    </row>
    <row r="34" spans="2:7" ht="82.8" customHeight="1">
      <c r="B34" s="37" t="s">
        <v>215</v>
      </c>
      <c r="C34" s="37" t="s">
        <v>218</v>
      </c>
      <c r="D34" s="38" t="s">
        <v>67</v>
      </c>
      <c r="E34" s="50" t="s">
        <v>71</v>
      </c>
      <c r="F34" s="50" t="s">
        <v>69</v>
      </c>
      <c r="G34" s="50" t="s">
        <v>70</v>
      </c>
    </row>
    <row r="35" spans="2:7" ht="82.8" customHeight="1">
      <c r="B35" s="37" t="s">
        <v>215</v>
      </c>
      <c r="C35" s="37" t="s">
        <v>218</v>
      </c>
      <c r="D35" s="38" t="s">
        <v>67</v>
      </c>
      <c r="E35" s="50" t="s">
        <v>72</v>
      </c>
      <c r="F35" s="50" t="s">
        <v>69</v>
      </c>
      <c r="G35" s="50" t="s">
        <v>70</v>
      </c>
    </row>
    <row r="36" spans="2:7" ht="82.8" customHeight="1">
      <c r="B36" s="37" t="s">
        <v>215</v>
      </c>
      <c r="C36" s="37" t="s">
        <v>219</v>
      </c>
      <c r="D36" s="36" t="s">
        <v>106</v>
      </c>
      <c r="E36" s="49" t="s">
        <v>107</v>
      </c>
      <c r="F36" s="49" t="s">
        <v>108</v>
      </c>
      <c r="G36" s="49" t="s">
        <v>109</v>
      </c>
    </row>
    <row r="37" spans="2:7" ht="82.8" customHeight="1">
      <c r="B37" s="37" t="s">
        <v>215</v>
      </c>
      <c r="C37" s="37" t="s">
        <v>219</v>
      </c>
      <c r="D37" s="36" t="s">
        <v>106</v>
      </c>
      <c r="E37" s="49" t="s">
        <v>110</v>
      </c>
      <c r="F37" s="49" t="s">
        <v>108</v>
      </c>
      <c r="G37" s="49" t="s">
        <v>111</v>
      </c>
    </row>
    <row r="38" spans="2:7" ht="82.8" customHeight="1">
      <c r="B38" s="37" t="s">
        <v>215</v>
      </c>
      <c r="C38" s="37" t="s">
        <v>219</v>
      </c>
      <c r="D38" s="36" t="s">
        <v>106</v>
      </c>
      <c r="E38" s="49" t="s">
        <v>112</v>
      </c>
      <c r="F38" s="49" t="s">
        <v>108</v>
      </c>
      <c r="G38" s="49" t="s">
        <v>113</v>
      </c>
    </row>
    <row r="39" spans="2:7" ht="82.8" customHeight="1">
      <c r="B39" s="37" t="s">
        <v>215</v>
      </c>
      <c r="C39" s="37" t="s">
        <v>222</v>
      </c>
      <c r="D39" s="36" t="s">
        <v>360</v>
      </c>
      <c r="E39" s="49" t="s">
        <v>114</v>
      </c>
      <c r="F39" s="67" t="s">
        <v>361</v>
      </c>
      <c r="G39" s="49" t="s">
        <v>115</v>
      </c>
    </row>
    <row r="40" spans="2:7" ht="82.8" customHeight="1">
      <c r="B40" s="37" t="s">
        <v>215</v>
      </c>
      <c r="C40" s="37" t="s">
        <v>222</v>
      </c>
      <c r="D40" s="36" t="s">
        <v>360</v>
      </c>
      <c r="E40" s="49" t="s">
        <v>116</v>
      </c>
      <c r="F40" s="67" t="s">
        <v>361</v>
      </c>
      <c r="G40" s="49" t="s">
        <v>117</v>
      </c>
    </row>
    <row r="41" spans="2:7" ht="82.8" customHeight="1">
      <c r="B41" s="37" t="s">
        <v>215</v>
      </c>
      <c r="C41" s="37" t="s">
        <v>222</v>
      </c>
      <c r="D41" s="36" t="s">
        <v>360</v>
      </c>
      <c r="E41" s="49" t="s">
        <v>118</v>
      </c>
      <c r="F41" s="67" t="s">
        <v>361</v>
      </c>
      <c r="G41" s="49" t="s">
        <v>119</v>
      </c>
    </row>
    <row r="42" spans="2:7" ht="82.8" customHeight="1">
      <c r="B42" s="37" t="s">
        <v>215</v>
      </c>
      <c r="C42" s="37" t="s">
        <v>222</v>
      </c>
      <c r="D42" s="36" t="s">
        <v>360</v>
      </c>
      <c r="E42" s="49" t="s">
        <v>120</v>
      </c>
      <c r="F42" s="67" t="s">
        <v>361</v>
      </c>
      <c r="G42" s="49" t="s">
        <v>121</v>
      </c>
    </row>
    <row r="43" spans="2:7" ht="82.8" customHeight="1">
      <c r="B43" s="37" t="s">
        <v>215</v>
      </c>
      <c r="C43" s="37" t="s">
        <v>222</v>
      </c>
      <c r="D43" s="36" t="s">
        <v>122</v>
      </c>
      <c r="E43" s="49" t="s">
        <v>123</v>
      </c>
      <c r="F43" s="67" t="s">
        <v>124</v>
      </c>
      <c r="G43" s="49" t="s">
        <v>125</v>
      </c>
    </row>
    <row r="44" spans="2:7" ht="82.8" customHeight="1">
      <c r="B44" s="37" t="s">
        <v>215</v>
      </c>
      <c r="C44" s="37" t="s">
        <v>222</v>
      </c>
      <c r="D44" s="36" t="s">
        <v>122</v>
      </c>
      <c r="E44" s="49" t="s">
        <v>126</v>
      </c>
      <c r="F44" s="49" t="s">
        <v>127</v>
      </c>
      <c r="G44" s="49" t="s">
        <v>125</v>
      </c>
    </row>
    <row r="45" spans="2:7" ht="82.8" customHeight="1">
      <c r="B45" s="37" t="s">
        <v>215</v>
      </c>
      <c r="C45" s="37" t="s">
        <v>222</v>
      </c>
      <c r="D45" s="36" t="s">
        <v>122</v>
      </c>
      <c r="E45" s="49" t="s">
        <v>128</v>
      </c>
      <c r="F45" s="49" t="s">
        <v>129</v>
      </c>
      <c r="G45" s="49" t="s">
        <v>130</v>
      </c>
    </row>
    <row r="46" spans="2:7" ht="82.8" customHeight="1">
      <c r="B46" s="37" t="s">
        <v>215</v>
      </c>
      <c r="C46" s="37" t="s">
        <v>222</v>
      </c>
      <c r="D46" s="36" t="s">
        <v>131</v>
      </c>
      <c r="E46" s="49" t="s">
        <v>132</v>
      </c>
      <c r="F46" s="49" t="s">
        <v>133</v>
      </c>
      <c r="G46" s="49" t="s">
        <v>134</v>
      </c>
    </row>
    <row r="47" spans="2:7" ht="82.8" customHeight="1">
      <c r="B47" s="37" t="s">
        <v>215</v>
      </c>
      <c r="C47" s="37" t="s">
        <v>222</v>
      </c>
      <c r="D47" s="36" t="s">
        <v>131</v>
      </c>
      <c r="E47" s="49" t="s">
        <v>135</v>
      </c>
      <c r="F47" s="49" t="s">
        <v>136</v>
      </c>
      <c r="G47" s="49" t="s">
        <v>137</v>
      </c>
    </row>
    <row r="48" spans="2:7" ht="82.8" customHeight="1">
      <c r="B48" s="37" t="s">
        <v>215</v>
      </c>
      <c r="C48" s="37" t="s">
        <v>222</v>
      </c>
      <c r="D48" s="36" t="s">
        <v>131</v>
      </c>
      <c r="E48" s="49" t="s">
        <v>138</v>
      </c>
      <c r="F48" s="49" t="s">
        <v>139</v>
      </c>
      <c r="G48" s="49" t="s">
        <v>140</v>
      </c>
    </row>
    <row r="49" spans="2:7" ht="82.8" customHeight="1">
      <c r="B49" s="37" t="s">
        <v>215</v>
      </c>
      <c r="C49" s="37" t="s">
        <v>222</v>
      </c>
      <c r="D49" s="36" t="s">
        <v>141</v>
      </c>
      <c r="E49" s="49" t="s">
        <v>142</v>
      </c>
      <c r="F49" s="49" t="s">
        <v>143</v>
      </c>
      <c r="G49" s="49" t="s">
        <v>144</v>
      </c>
    </row>
    <row r="50" spans="2:7" ht="82.8" customHeight="1">
      <c r="B50" s="37" t="s">
        <v>215</v>
      </c>
      <c r="C50" s="37" t="s">
        <v>222</v>
      </c>
      <c r="D50" s="36" t="s">
        <v>141</v>
      </c>
      <c r="E50" s="49" t="s">
        <v>145</v>
      </c>
      <c r="F50" s="49" t="s">
        <v>146</v>
      </c>
      <c r="G50" s="49" t="s">
        <v>147</v>
      </c>
    </row>
    <row r="51" spans="2:7" ht="82.8" customHeight="1">
      <c r="B51" s="37" t="s">
        <v>215</v>
      </c>
      <c r="C51" s="37" t="s">
        <v>222</v>
      </c>
      <c r="D51" s="36" t="s">
        <v>141</v>
      </c>
      <c r="E51" s="49" t="s">
        <v>148</v>
      </c>
      <c r="F51" s="49" t="s">
        <v>149</v>
      </c>
      <c r="G51" s="49" t="s">
        <v>150</v>
      </c>
    </row>
    <row r="52" spans="2:7" ht="82.8" customHeight="1">
      <c r="B52" s="37" t="s">
        <v>215</v>
      </c>
      <c r="C52" s="37" t="s">
        <v>222</v>
      </c>
      <c r="D52" s="36" t="s">
        <v>151</v>
      </c>
      <c r="E52" s="49" t="s">
        <v>152</v>
      </c>
      <c r="F52" s="49" t="s">
        <v>153</v>
      </c>
      <c r="G52" s="49" t="s">
        <v>154</v>
      </c>
    </row>
    <row r="53" spans="2:7" ht="82.8" customHeight="1">
      <c r="B53" s="37" t="s">
        <v>215</v>
      </c>
      <c r="C53" s="37" t="s">
        <v>222</v>
      </c>
      <c r="D53" s="36" t="s">
        <v>151</v>
      </c>
      <c r="E53" s="49" t="s">
        <v>155</v>
      </c>
      <c r="F53" s="49" t="s">
        <v>156</v>
      </c>
      <c r="G53" s="49" t="s">
        <v>157</v>
      </c>
    </row>
    <row r="54" spans="2:7" ht="82.8" customHeight="1">
      <c r="B54" s="37" t="s">
        <v>215</v>
      </c>
      <c r="C54" s="37" t="s">
        <v>222</v>
      </c>
      <c r="D54" s="36" t="s">
        <v>151</v>
      </c>
      <c r="E54" s="49" t="s">
        <v>158</v>
      </c>
      <c r="F54" s="49" t="s">
        <v>159</v>
      </c>
      <c r="G54" s="49" t="s">
        <v>160</v>
      </c>
    </row>
    <row r="55" spans="2:7" ht="82.8" customHeight="1">
      <c r="B55" s="37" t="s">
        <v>215</v>
      </c>
      <c r="C55" s="37" t="s">
        <v>222</v>
      </c>
      <c r="D55" s="36" t="s">
        <v>161</v>
      </c>
      <c r="E55" s="49" t="s">
        <v>162</v>
      </c>
      <c r="F55" s="49" t="s">
        <v>163</v>
      </c>
      <c r="G55" s="49" t="s">
        <v>164</v>
      </c>
    </row>
    <row r="56" spans="2:7" ht="82.8" customHeight="1">
      <c r="B56" s="37" t="s">
        <v>215</v>
      </c>
      <c r="C56" s="37" t="s">
        <v>222</v>
      </c>
      <c r="D56" s="36" t="s">
        <v>161</v>
      </c>
      <c r="E56" s="49" t="s">
        <v>162</v>
      </c>
      <c r="F56" s="49" t="s">
        <v>165</v>
      </c>
      <c r="G56" s="49" t="s">
        <v>166</v>
      </c>
    </row>
    <row r="57" spans="2:7" ht="82.8" customHeight="1">
      <c r="B57" s="37" t="s">
        <v>215</v>
      </c>
      <c r="C57" s="37" t="s">
        <v>222</v>
      </c>
      <c r="D57" s="36" t="s">
        <v>161</v>
      </c>
      <c r="E57" s="49" t="s">
        <v>167</v>
      </c>
      <c r="F57" s="49" t="s">
        <v>168</v>
      </c>
      <c r="G57" s="49" t="s">
        <v>169</v>
      </c>
    </row>
    <row r="58" spans="2:7" ht="82.8" customHeight="1">
      <c r="B58" s="37" t="s">
        <v>223</v>
      </c>
      <c r="C58" s="37" t="s">
        <v>224</v>
      </c>
      <c r="D58" s="36" t="s">
        <v>170</v>
      </c>
      <c r="E58" s="49" t="s">
        <v>171</v>
      </c>
      <c r="F58" s="49" t="s">
        <v>172</v>
      </c>
      <c r="G58" s="49" t="s">
        <v>173</v>
      </c>
    </row>
    <row r="59" spans="2:7" ht="82.8" customHeight="1">
      <c r="B59" s="37" t="s">
        <v>223</v>
      </c>
      <c r="C59" s="37" t="s">
        <v>224</v>
      </c>
      <c r="D59" s="36" t="s">
        <v>170</v>
      </c>
      <c r="E59" s="49" t="s">
        <v>174</v>
      </c>
      <c r="F59" s="49" t="s">
        <v>175</v>
      </c>
      <c r="G59" s="49" t="s">
        <v>176</v>
      </c>
    </row>
    <row r="60" spans="2:7" ht="82.8" customHeight="1">
      <c r="B60" s="37" t="s">
        <v>223</v>
      </c>
      <c r="C60" s="37" t="s">
        <v>224</v>
      </c>
      <c r="D60" s="36" t="s">
        <v>170</v>
      </c>
      <c r="E60" s="49" t="s">
        <v>177</v>
      </c>
      <c r="F60" s="49" t="s">
        <v>178</v>
      </c>
      <c r="G60" s="49" t="s">
        <v>179</v>
      </c>
    </row>
    <row r="61" spans="2:7" ht="82.8" customHeight="1">
      <c r="B61" s="37" t="s">
        <v>223</v>
      </c>
      <c r="C61" s="37" t="s">
        <v>225</v>
      </c>
      <c r="D61" s="36" t="s">
        <v>180</v>
      </c>
      <c r="E61" s="49" t="s">
        <v>181</v>
      </c>
      <c r="F61" s="49" t="s">
        <v>182</v>
      </c>
      <c r="G61" s="49" t="s">
        <v>183</v>
      </c>
    </row>
    <row r="62" spans="2:7" ht="82.8" customHeight="1">
      <c r="B62" s="37" t="s">
        <v>223</v>
      </c>
      <c r="C62" s="37" t="s">
        <v>225</v>
      </c>
      <c r="D62" s="36" t="s">
        <v>180</v>
      </c>
      <c r="E62" s="49" t="s">
        <v>184</v>
      </c>
      <c r="F62" s="49" t="s">
        <v>185</v>
      </c>
      <c r="G62" s="49" t="s">
        <v>186</v>
      </c>
    </row>
    <row r="63" spans="2:7" ht="82.8" customHeight="1">
      <c r="B63" s="37" t="s">
        <v>223</v>
      </c>
      <c r="C63" s="37" t="s">
        <v>225</v>
      </c>
      <c r="D63" s="36" t="s">
        <v>180</v>
      </c>
      <c r="E63" s="49" t="s">
        <v>187</v>
      </c>
      <c r="F63" s="49" t="s">
        <v>188</v>
      </c>
      <c r="G63" s="49" t="s">
        <v>189</v>
      </c>
    </row>
    <row r="64" spans="2:7" ht="82.8" customHeight="1">
      <c r="B64" s="37" t="s">
        <v>223</v>
      </c>
      <c r="C64" s="37" t="s">
        <v>226</v>
      </c>
      <c r="D64" s="38" t="s">
        <v>73</v>
      </c>
      <c r="E64" s="50" t="s">
        <v>74</v>
      </c>
      <c r="F64" s="50" t="s">
        <v>75</v>
      </c>
      <c r="G64" s="50" t="s">
        <v>76</v>
      </c>
    </row>
    <row r="65" spans="2:7" ht="82.8" customHeight="1">
      <c r="B65" s="37" t="s">
        <v>223</v>
      </c>
      <c r="C65" s="37" t="s">
        <v>226</v>
      </c>
      <c r="D65" s="38" t="s">
        <v>73</v>
      </c>
      <c r="E65" s="50" t="s">
        <v>74</v>
      </c>
      <c r="F65" s="50" t="s">
        <v>75</v>
      </c>
      <c r="G65" s="50" t="s">
        <v>77</v>
      </c>
    </row>
    <row r="66" spans="2:7" ht="82.8" customHeight="1">
      <c r="B66" s="37" t="s">
        <v>223</v>
      </c>
      <c r="C66" s="37" t="s">
        <v>226</v>
      </c>
      <c r="D66" s="38" t="s">
        <v>73</v>
      </c>
      <c r="E66" s="50" t="s">
        <v>74</v>
      </c>
      <c r="F66" s="50" t="s">
        <v>78</v>
      </c>
      <c r="G66" s="50" t="s">
        <v>76</v>
      </c>
    </row>
    <row r="67" spans="2:7" ht="82.8" customHeight="1">
      <c r="B67" s="37" t="s">
        <v>223</v>
      </c>
      <c r="C67" s="37" t="s">
        <v>226</v>
      </c>
      <c r="D67" s="38" t="s">
        <v>73</v>
      </c>
      <c r="E67" s="50" t="s">
        <v>74</v>
      </c>
      <c r="F67" s="50" t="s">
        <v>78</v>
      </c>
      <c r="G67" s="50" t="s">
        <v>77</v>
      </c>
    </row>
    <row r="68" spans="2:7" ht="82.8" customHeight="1">
      <c r="B68" s="37" t="s">
        <v>223</v>
      </c>
      <c r="C68" s="37" t="s">
        <v>226</v>
      </c>
      <c r="D68" s="38" t="s">
        <v>73</v>
      </c>
      <c r="E68" s="50" t="s">
        <v>79</v>
      </c>
      <c r="F68" s="50" t="s">
        <v>75</v>
      </c>
      <c r="G68" s="50" t="s">
        <v>76</v>
      </c>
    </row>
    <row r="69" spans="2:7" ht="82.8" customHeight="1">
      <c r="B69" s="37" t="s">
        <v>223</v>
      </c>
      <c r="C69" s="37" t="s">
        <v>226</v>
      </c>
      <c r="D69" s="38" t="s">
        <v>73</v>
      </c>
      <c r="E69" s="50" t="s">
        <v>79</v>
      </c>
      <c r="F69" s="50" t="s">
        <v>75</v>
      </c>
      <c r="G69" s="50" t="s">
        <v>77</v>
      </c>
    </row>
    <row r="70" spans="2:7" ht="82.8" customHeight="1">
      <c r="B70" s="37" t="s">
        <v>223</v>
      </c>
      <c r="C70" s="37" t="s">
        <v>226</v>
      </c>
      <c r="D70" s="38" t="s">
        <v>73</v>
      </c>
      <c r="E70" s="50" t="s">
        <v>79</v>
      </c>
      <c r="F70" s="50" t="s">
        <v>78</v>
      </c>
      <c r="G70" s="50" t="s">
        <v>76</v>
      </c>
    </row>
    <row r="71" spans="2:7" ht="82.8" customHeight="1">
      <c r="B71" s="37" t="s">
        <v>223</v>
      </c>
      <c r="C71" s="37" t="s">
        <v>226</v>
      </c>
      <c r="D71" s="38" t="s">
        <v>73</v>
      </c>
      <c r="E71" s="50" t="s">
        <v>79</v>
      </c>
      <c r="F71" s="50" t="s">
        <v>78</v>
      </c>
      <c r="G71" s="50" t="s">
        <v>77</v>
      </c>
    </row>
    <row r="72" spans="2:7" ht="82.8" customHeight="1">
      <c r="B72" s="37" t="s">
        <v>223</v>
      </c>
      <c r="C72" s="37" t="s">
        <v>226</v>
      </c>
      <c r="D72" s="38" t="s">
        <v>73</v>
      </c>
      <c r="E72" s="50" t="s">
        <v>80</v>
      </c>
      <c r="F72" s="50" t="s">
        <v>81</v>
      </c>
      <c r="G72" s="50" t="s">
        <v>82</v>
      </c>
    </row>
    <row r="73" spans="2:7" ht="82.8" customHeight="1">
      <c r="B73" s="37" t="s">
        <v>223</v>
      </c>
      <c r="C73" s="37" t="s">
        <v>226</v>
      </c>
      <c r="D73" s="38" t="s">
        <v>73</v>
      </c>
      <c r="E73" s="50" t="s">
        <v>80</v>
      </c>
      <c r="F73" s="50" t="s">
        <v>78</v>
      </c>
      <c r="G73" s="50" t="s">
        <v>82</v>
      </c>
    </row>
    <row r="74" spans="2:7" ht="82.8" customHeight="1">
      <c r="B74" s="37" t="s">
        <v>223</v>
      </c>
      <c r="C74" s="37" t="s">
        <v>226</v>
      </c>
      <c r="D74" s="38" t="s">
        <v>83</v>
      </c>
      <c r="E74" s="50" t="s">
        <v>84</v>
      </c>
      <c r="F74" s="50" t="s">
        <v>85</v>
      </c>
      <c r="G74" s="50" t="s">
        <v>86</v>
      </c>
    </row>
    <row r="75" spans="2:7" ht="82.8" customHeight="1">
      <c r="B75" s="37" t="s">
        <v>223</v>
      </c>
      <c r="C75" s="37" t="s">
        <v>226</v>
      </c>
      <c r="D75" s="38" t="s">
        <v>83</v>
      </c>
      <c r="E75" s="50" t="s">
        <v>84</v>
      </c>
      <c r="F75" s="50" t="s">
        <v>85</v>
      </c>
      <c r="G75" s="50" t="s">
        <v>87</v>
      </c>
    </row>
    <row r="76" spans="2:7" ht="82.8" customHeight="1">
      <c r="B76" s="37" t="s">
        <v>223</v>
      </c>
      <c r="C76" s="37" t="s">
        <v>226</v>
      </c>
      <c r="D76" s="38" t="s">
        <v>83</v>
      </c>
      <c r="E76" s="50" t="s">
        <v>88</v>
      </c>
      <c r="F76" s="50" t="s">
        <v>85</v>
      </c>
      <c r="G76" s="50" t="s">
        <v>89</v>
      </c>
    </row>
    <row r="77" spans="2:7" ht="82.8" customHeight="1">
      <c r="B77" s="37" t="s">
        <v>223</v>
      </c>
      <c r="C77" s="37" t="s">
        <v>226</v>
      </c>
      <c r="D77" s="38" t="s">
        <v>83</v>
      </c>
      <c r="E77" s="50" t="s">
        <v>90</v>
      </c>
      <c r="F77" s="50" t="s">
        <v>85</v>
      </c>
      <c r="G77" s="50" t="s">
        <v>89</v>
      </c>
    </row>
    <row r="78" spans="2:7" ht="82.8" customHeight="1">
      <c r="B78" s="37" t="s">
        <v>227</v>
      </c>
      <c r="C78" s="37" t="s">
        <v>228</v>
      </c>
      <c r="D78" s="38" t="s">
        <v>229</v>
      </c>
      <c r="E78" s="50" t="s">
        <v>286</v>
      </c>
      <c r="F78" s="50" t="s">
        <v>287</v>
      </c>
      <c r="G78" s="50" t="s">
        <v>288</v>
      </c>
    </row>
    <row r="79" spans="2:7" ht="82.8" customHeight="1">
      <c r="B79" s="37" t="s">
        <v>227</v>
      </c>
      <c r="C79" s="37" t="s">
        <v>228</v>
      </c>
      <c r="D79" s="38" t="s">
        <v>229</v>
      </c>
      <c r="E79" s="50" t="s">
        <v>289</v>
      </c>
      <c r="F79" s="50" t="s">
        <v>290</v>
      </c>
      <c r="G79" s="50" t="s">
        <v>291</v>
      </c>
    </row>
    <row r="80" spans="2:7" ht="82.8" customHeight="1">
      <c r="B80" s="37" t="s">
        <v>227</v>
      </c>
      <c r="C80" s="37" t="s">
        <v>228</v>
      </c>
      <c r="D80" s="38" t="s">
        <v>229</v>
      </c>
      <c r="E80" s="50" t="s">
        <v>292</v>
      </c>
      <c r="F80" s="50" t="s">
        <v>293</v>
      </c>
      <c r="G80" s="50" t="s">
        <v>294</v>
      </c>
    </row>
    <row r="81" spans="2:7" ht="82.8" customHeight="1">
      <c r="B81" s="37" t="s">
        <v>227</v>
      </c>
      <c r="C81" s="37" t="s">
        <v>228</v>
      </c>
      <c r="D81" s="38" t="s">
        <v>230</v>
      </c>
      <c r="E81" s="50" t="s">
        <v>295</v>
      </c>
      <c r="F81" s="50" t="s">
        <v>296</v>
      </c>
      <c r="G81" s="50" t="s">
        <v>297</v>
      </c>
    </row>
    <row r="82" spans="2:7" ht="82.8" customHeight="1">
      <c r="B82" s="37" t="s">
        <v>227</v>
      </c>
      <c r="C82" s="37" t="s">
        <v>228</v>
      </c>
      <c r="D82" s="38" t="s">
        <v>230</v>
      </c>
      <c r="E82" s="50" t="s">
        <v>295</v>
      </c>
      <c r="F82" s="50" t="s">
        <v>296</v>
      </c>
      <c r="G82" s="50" t="s">
        <v>298</v>
      </c>
    </row>
    <row r="83" spans="2:7" ht="82.8" customHeight="1">
      <c r="B83" s="37" t="s">
        <v>227</v>
      </c>
      <c r="C83" s="37" t="s">
        <v>228</v>
      </c>
      <c r="D83" s="38" t="s">
        <v>230</v>
      </c>
      <c r="E83" s="50" t="s">
        <v>299</v>
      </c>
      <c r="F83" s="50" t="s">
        <v>296</v>
      </c>
      <c r="G83" s="50" t="s">
        <v>297</v>
      </c>
    </row>
    <row r="84" spans="2:7" ht="82.8" customHeight="1">
      <c r="B84" s="37" t="s">
        <v>227</v>
      </c>
      <c r="C84" s="37" t="s">
        <v>228</v>
      </c>
      <c r="D84" s="38" t="s">
        <v>230</v>
      </c>
      <c r="E84" s="50" t="s">
        <v>299</v>
      </c>
      <c r="F84" s="50" t="s">
        <v>296</v>
      </c>
      <c r="G84" s="50" t="s">
        <v>298</v>
      </c>
    </row>
    <row r="85" spans="2:7" ht="82.8" customHeight="1">
      <c r="B85" s="37" t="s">
        <v>227</v>
      </c>
      <c r="C85" s="37" t="s">
        <v>228</v>
      </c>
      <c r="D85" s="38" t="s">
        <v>231</v>
      </c>
      <c r="E85" s="50" t="s">
        <v>300</v>
      </c>
      <c r="F85" s="50" t="s">
        <v>301</v>
      </c>
      <c r="G85" s="50" t="s">
        <v>302</v>
      </c>
    </row>
    <row r="86" spans="2:7" ht="82.8" customHeight="1">
      <c r="B86" s="37" t="s">
        <v>227</v>
      </c>
      <c r="C86" s="37" t="s">
        <v>228</v>
      </c>
      <c r="D86" s="38" t="s">
        <v>231</v>
      </c>
      <c r="E86" s="50" t="s">
        <v>303</v>
      </c>
      <c r="F86" s="50" t="s">
        <v>301</v>
      </c>
      <c r="G86" s="50" t="s">
        <v>302</v>
      </c>
    </row>
    <row r="87" spans="2:7" ht="82.8" customHeight="1">
      <c r="B87" s="37" t="s">
        <v>227</v>
      </c>
      <c r="C87" s="37" t="s">
        <v>228</v>
      </c>
      <c r="D87" s="38" t="s">
        <v>231</v>
      </c>
      <c r="E87" s="50" t="s">
        <v>304</v>
      </c>
      <c r="F87" s="50" t="s">
        <v>301</v>
      </c>
      <c r="G87" s="50" t="s">
        <v>302</v>
      </c>
    </row>
    <row r="88" spans="2:7" ht="82.8" customHeight="1">
      <c r="B88" s="37" t="s">
        <v>227</v>
      </c>
      <c r="C88" s="37" t="s">
        <v>228</v>
      </c>
      <c r="D88" s="38" t="s">
        <v>232</v>
      </c>
      <c r="E88" s="50" t="s">
        <v>305</v>
      </c>
      <c r="F88" s="50" t="s">
        <v>306</v>
      </c>
      <c r="G88" s="50" t="s">
        <v>307</v>
      </c>
    </row>
    <row r="89" spans="2:7" ht="82.8" customHeight="1">
      <c r="B89" s="37" t="s">
        <v>227</v>
      </c>
      <c r="C89" s="37" t="s">
        <v>228</v>
      </c>
      <c r="D89" s="38" t="s">
        <v>232</v>
      </c>
      <c r="E89" s="50" t="s">
        <v>309</v>
      </c>
      <c r="F89" s="50" t="s">
        <v>308</v>
      </c>
      <c r="G89" s="50" t="s">
        <v>307</v>
      </c>
    </row>
    <row r="90" spans="2:7" ht="82.8" customHeight="1">
      <c r="B90" s="37" t="s">
        <v>227</v>
      </c>
      <c r="C90" s="37" t="s">
        <v>228</v>
      </c>
      <c r="D90" s="38" t="s">
        <v>232</v>
      </c>
      <c r="E90" s="50" t="s">
        <v>310</v>
      </c>
      <c r="F90" s="50" t="s">
        <v>308</v>
      </c>
      <c r="G90" s="50" t="s">
        <v>307</v>
      </c>
    </row>
    <row r="91" spans="2:7" ht="82.8" customHeight="1">
      <c r="B91" s="37" t="s">
        <v>227</v>
      </c>
      <c r="C91" s="37" t="s">
        <v>228</v>
      </c>
      <c r="D91" s="39" t="s">
        <v>232</v>
      </c>
      <c r="E91" s="51" t="s">
        <v>310</v>
      </c>
      <c r="F91" s="51" t="s">
        <v>308</v>
      </c>
      <c r="G91" s="51" t="s">
        <v>311</v>
      </c>
    </row>
    <row r="92" spans="2:7" ht="82.8" customHeight="1">
      <c r="B92" s="37" t="s">
        <v>227</v>
      </c>
      <c r="C92" s="37" t="s">
        <v>228</v>
      </c>
      <c r="D92" s="44" t="s">
        <v>233</v>
      </c>
      <c r="E92" s="49" t="s">
        <v>330</v>
      </c>
      <c r="F92" s="49" t="s">
        <v>331</v>
      </c>
      <c r="G92" s="49" t="s">
        <v>332</v>
      </c>
    </row>
    <row r="93" spans="2:7" ht="82.8" customHeight="1">
      <c r="B93" s="37" t="s">
        <v>227</v>
      </c>
      <c r="C93" s="37" t="s">
        <v>228</v>
      </c>
      <c r="D93" s="44" t="s">
        <v>233</v>
      </c>
      <c r="E93" s="49" t="s">
        <v>333</v>
      </c>
      <c r="F93" s="49" t="s">
        <v>334</v>
      </c>
      <c r="G93" s="49" t="s">
        <v>335</v>
      </c>
    </row>
    <row r="94" spans="2:7" ht="82.8" customHeight="1">
      <c r="B94" s="37" t="s">
        <v>227</v>
      </c>
      <c r="C94" s="37" t="s">
        <v>228</v>
      </c>
      <c r="D94" s="44" t="s">
        <v>233</v>
      </c>
      <c r="E94" s="49" t="s">
        <v>336</v>
      </c>
      <c r="F94" s="49" t="s">
        <v>331</v>
      </c>
      <c r="G94" s="49" t="s">
        <v>337</v>
      </c>
    </row>
    <row r="95" spans="2:7" ht="82.8" customHeight="1">
      <c r="B95" s="37" t="s">
        <v>227</v>
      </c>
      <c r="C95" s="37" t="s">
        <v>234</v>
      </c>
      <c r="D95" s="40" t="s">
        <v>235</v>
      </c>
      <c r="E95" s="52" t="s">
        <v>312</v>
      </c>
      <c r="F95" s="52" t="s">
        <v>313</v>
      </c>
      <c r="G95" s="52" t="s">
        <v>314</v>
      </c>
    </row>
    <row r="96" spans="2:7" ht="82.8" customHeight="1">
      <c r="B96" s="37" t="s">
        <v>227</v>
      </c>
      <c r="C96" s="37" t="s">
        <v>234</v>
      </c>
      <c r="D96" s="38" t="s">
        <v>235</v>
      </c>
      <c r="E96" s="50" t="s">
        <v>312</v>
      </c>
      <c r="F96" s="50" t="s">
        <v>313</v>
      </c>
      <c r="G96" s="50" t="s">
        <v>315</v>
      </c>
    </row>
    <row r="97" spans="2:7" ht="82.8" customHeight="1">
      <c r="B97" s="37" t="s">
        <v>227</v>
      </c>
      <c r="C97" s="37" t="s">
        <v>234</v>
      </c>
      <c r="D97" s="38" t="s">
        <v>235</v>
      </c>
      <c r="E97" s="50" t="s">
        <v>312</v>
      </c>
      <c r="F97" s="50" t="s">
        <v>317</v>
      </c>
      <c r="G97" s="50" t="s">
        <v>314</v>
      </c>
    </row>
    <row r="98" spans="2:7" ht="82.8" customHeight="1">
      <c r="B98" s="37" t="s">
        <v>227</v>
      </c>
      <c r="C98" s="37" t="s">
        <v>234</v>
      </c>
      <c r="D98" s="38" t="s">
        <v>235</v>
      </c>
      <c r="E98" s="50" t="s">
        <v>312</v>
      </c>
      <c r="F98" s="50" t="s">
        <v>317</v>
      </c>
      <c r="G98" s="50" t="s">
        <v>315</v>
      </c>
    </row>
    <row r="99" spans="2:7" ht="82.8" customHeight="1">
      <c r="B99" s="37" t="s">
        <v>227</v>
      </c>
      <c r="C99" s="37" t="s">
        <v>234</v>
      </c>
      <c r="D99" s="38" t="s">
        <v>235</v>
      </c>
      <c r="E99" s="50" t="s">
        <v>318</v>
      </c>
      <c r="F99" s="50" t="s">
        <v>313</v>
      </c>
      <c r="G99" s="50" t="s">
        <v>319</v>
      </c>
    </row>
    <row r="100" spans="2:7" ht="82.8" customHeight="1">
      <c r="B100" s="37" t="s">
        <v>227</v>
      </c>
      <c r="C100" s="37" t="s">
        <v>234</v>
      </c>
      <c r="D100" s="38" t="s">
        <v>235</v>
      </c>
      <c r="E100" s="50" t="s">
        <v>318</v>
      </c>
      <c r="F100" s="50" t="s">
        <v>317</v>
      </c>
      <c r="G100" s="50" t="s">
        <v>319</v>
      </c>
    </row>
    <row r="101" spans="2:7" ht="82.8" customHeight="1">
      <c r="B101" s="37" t="s">
        <v>227</v>
      </c>
      <c r="C101" s="37" t="s">
        <v>234</v>
      </c>
      <c r="D101" s="39" t="s">
        <v>235</v>
      </c>
      <c r="E101" s="51" t="s">
        <v>320</v>
      </c>
      <c r="F101" s="51" t="s">
        <v>316</v>
      </c>
      <c r="G101" s="51" t="s">
        <v>321</v>
      </c>
    </row>
    <row r="102" spans="2:7" ht="82.8" customHeight="1">
      <c r="B102" s="37" t="s">
        <v>227</v>
      </c>
      <c r="C102" s="37" t="s">
        <v>236</v>
      </c>
      <c r="D102" s="36" t="s">
        <v>237</v>
      </c>
      <c r="E102" s="49" t="s">
        <v>338</v>
      </c>
      <c r="F102" s="49" t="s">
        <v>339</v>
      </c>
      <c r="G102" s="49" t="s">
        <v>340</v>
      </c>
    </row>
    <row r="103" spans="2:7" ht="82.8" customHeight="1">
      <c r="B103" s="37" t="s">
        <v>227</v>
      </c>
      <c r="C103" s="37" t="s">
        <v>236</v>
      </c>
      <c r="D103" s="36" t="s">
        <v>237</v>
      </c>
      <c r="E103" s="49" t="s">
        <v>341</v>
      </c>
      <c r="F103" s="49" t="s">
        <v>342</v>
      </c>
      <c r="G103" s="49" t="s">
        <v>343</v>
      </c>
    </row>
    <row r="104" spans="2:7" ht="82.8" customHeight="1">
      <c r="B104" s="37" t="s">
        <v>227</v>
      </c>
      <c r="C104" s="37" t="s">
        <v>236</v>
      </c>
      <c r="D104" s="41" t="s">
        <v>237</v>
      </c>
      <c r="E104" s="53" t="s">
        <v>344</v>
      </c>
      <c r="F104" s="53" t="s">
        <v>345</v>
      </c>
      <c r="G104" s="53" t="s">
        <v>346</v>
      </c>
    </row>
    <row r="105" spans="2:7" ht="82.8" customHeight="1">
      <c r="B105" s="37" t="s">
        <v>227</v>
      </c>
      <c r="C105" s="37" t="s">
        <v>236</v>
      </c>
      <c r="D105" s="36" t="s">
        <v>238</v>
      </c>
      <c r="E105" s="49" t="s">
        <v>338</v>
      </c>
      <c r="F105" s="49" t="s">
        <v>347</v>
      </c>
      <c r="G105" s="49" t="s">
        <v>348</v>
      </c>
    </row>
    <row r="106" spans="2:7" ht="82.8" customHeight="1">
      <c r="B106" s="37" t="s">
        <v>227</v>
      </c>
      <c r="C106" s="37" t="s">
        <v>236</v>
      </c>
      <c r="D106" s="36" t="s">
        <v>238</v>
      </c>
      <c r="E106" s="49" t="s">
        <v>344</v>
      </c>
      <c r="F106" s="49" t="s">
        <v>345</v>
      </c>
      <c r="G106" s="49" t="s">
        <v>362</v>
      </c>
    </row>
    <row r="107" spans="2:7" ht="82.8" customHeight="1">
      <c r="B107" s="37" t="s">
        <v>227</v>
      </c>
      <c r="C107" s="37" t="s">
        <v>236</v>
      </c>
      <c r="D107" s="36" t="s">
        <v>238</v>
      </c>
      <c r="E107" s="49" t="s">
        <v>341</v>
      </c>
      <c r="F107" s="49" t="s">
        <v>342</v>
      </c>
      <c r="G107" s="67" t="s">
        <v>364</v>
      </c>
    </row>
    <row r="108" spans="2:7" ht="82.8" customHeight="1">
      <c r="B108" s="37" t="s">
        <v>227</v>
      </c>
      <c r="C108" s="37" t="s">
        <v>239</v>
      </c>
      <c r="D108" s="40" t="s">
        <v>240</v>
      </c>
      <c r="E108" s="52" t="s">
        <v>322</v>
      </c>
      <c r="F108" s="52" t="s">
        <v>323</v>
      </c>
      <c r="G108" s="52" t="s">
        <v>324</v>
      </c>
    </row>
    <row r="109" spans="2:7" ht="82.8" customHeight="1">
      <c r="B109" s="37" t="s">
        <v>227</v>
      </c>
      <c r="C109" s="37" t="s">
        <v>239</v>
      </c>
      <c r="D109" s="38" t="s">
        <v>240</v>
      </c>
      <c r="E109" s="50" t="s">
        <v>322</v>
      </c>
      <c r="F109" s="50" t="s">
        <v>323</v>
      </c>
      <c r="G109" s="50" t="s">
        <v>325</v>
      </c>
    </row>
    <row r="110" spans="2:7" ht="82.8" customHeight="1">
      <c r="B110" s="37" t="s">
        <v>227</v>
      </c>
      <c r="C110" s="37" t="s">
        <v>239</v>
      </c>
      <c r="D110" s="38" t="s">
        <v>240</v>
      </c>
      <c r="E110" s="50" t="s">
        <v>326</v>
      </c>
      <c r="F110" s="50" t="s">
        <v>323</v>
      </c>
      <c r="G110" s="50" t="s">
        <v>324</v>
      </c>
    </row>
    <row r="111" spans="2:7" ht="82.8" customHeight="1">
      <c r="B111" s="37" t="s">
        <v>227</v>
      </c>
      <c r="C111" s="37" t="s">
        <v>239</v>
      </c>
      <c r="D111" s="38" t="s">
        <v>240</v>
      </c>
      <c r="E111" s="50" t="s">
        <v>326</v>
      </c>
      <c r="F111" s="50" t="s">
        <v>323</v>
      </c>
      <c r="G111" s="50" t="s">
        <v>325</v>
      </c>
    </row>
    <row r="112" spans="2:7" ht="82.8" customHeight="1">
      <c r="B112" s="37" t="s">
        <v>227</v>
      </c>
      <c r="C112" s="37" t="s">
        <v>239</v>
      </c>
      <c r="D112" s="38" t="s">
        <v>240</v>
      </c>
      <c r="E112" s="50" t="s">
        <v>327</v>
      </c>
      <c r="F112" s="50" t="s">
        <v>323</v>
      </c>
      <c r="G112" s="50" t="s">
        <v>324</v>
      </c>
    </row>
    <row r="113" spans="2:7" ht="82.8" customHeight="1">
      <c r="B113" s="37" t="s">
        <v>227</v>
      </c>
      <c r="C113" s="37" t="s">
        <v>239</v>
      </c>
      <c r="D113" s="38" t="s">
        <v>240</v>
      </c>
      <c r="E113" s="50" t="s">
        <v>327</v>
      </c>
      <c r="F113" s="50" t="s">
        <v>323</v>
      </c>
      <c r="G113" s="50" t="s">
        <v>325</v>
      </c>
    </row>
    <row r="114" spans="2:7" ht="82.8" customHeight="1">
      <c r="B114" s="37" t="s">
        <v>227</v>
      </c>
      <c r="C114" s="37" t="s">
        <v>239</v>
      </c>
      <c r="D114" s="38" t="s">
        <v>241</v>
      </c>
      <c r="E114" s="50" t="s">
        <v>328</v>
      </c>
      <c r="F114" s="50" t="s">
        <v>296</v>
      </c>
      <c r="G114" s="50" t="s">
        <v>297</v>
      </c>
    </row>
    <row r="115" spans="2:7" ht="82.8" customHeight="1">
      <c r="B115" s="37" t="s">
        <v>227</v>
      </c>
      <c r="C115" s="37" t="s">
        <v>239</v>
      </c>
      <c r="D115" s="38" t="s">
        <v>241</v>
      </c>
      <c r="E115" s="50" t="s">
        <v>328</v>
      </c>
      <c r="F115" s="50" t="s">
        <v>296</v>
      </c>
      <c r="G115" s="50" t="s">
        <v>298</v>
      </c>
    </row>
    <row r="116" spans="2:7" ht="82.8" customHeight="1">
      <c r="B116" s="37" t="s">
        <v>227</v>
      </c>
      <c r="C116" s="37" t="s">
        <v>239</v>
      </c>
      <c r="D116" s="38" t="s">
        <v>241</v>
      </c>
      <c r="E116" s="50" t="s">
        <v>329</v>
      </c>
      <c r="F116" s="50" t="s">
        <v>296</v>
      </c>
      <c r="G116" s="50" t="s">
        <v>297</v>
      </c>
    </row>
    <row r="117" spans="2:7" ht="82.8" customHeight="1">
      <c r="B117" s="37" t="s">
        <v>227</v>
      </c>
      <c r="C117" s="37" t="s">
        <v>239</v>
      </c>
      <c r="D117" s="39" t="s">
        <v>241</v>
      </c>
      <c r="E117" s="51" t="s">
        <v>329</v>
      </c>
      <c r="F117" s="51" t="s">
        <v>296</v>
      </c>
      <c r="G117" s="51" t="s">
        <v>298</v>
      </c>
    </row>
    <row r="118" spans="2:7" ht="82.8" customHeight="1">
      <c r="B118" s="37" t="s">
        <v>227</v>
      </c>
      <c r="C118" s="37" t="s">
        <v>239</v>
      </c>
      <c r="D118" s="36" t="s">
        <v>242</v>
      </c>
      <c r="E118" s="49" t="s">
        <v>349</v>
      </c>
      <c r="F118" s="49" t="s">
        <v>350</v>
      </c>
      <c r="G118" s="49" t="s">
        <v>351</v>
      </c>
    </row>
    <row r="119" spans="2:7" ht="82.8" customHeight="1">
      <c r="B119" s="37" t="s">
        <v>227</v>
      </c>
      <c r="C119" s="37" t="s">
        <v>239</v>
      </c>
      <c r="D119" s="36" t="s">
        <v>242</v>
      </c>
      <c r="E119" s="49" t="s">
        <v>352</v>
      </c>
      <c r="F119" s="49" t="s">
        <v>353</v>
      </c>
      <c r="G119" s="49" t="s">
        <v>354</v>
      </c>
    </row>
    <row r="120" spans="2:7" ht="82.8" customHeight="1">
      <c r="B120" s="37" t="s">
        <v>227</v>
      </c>
      <c r="C120" s="37" t="s">
        <v>239</v>
      </c>
      <c r="D120" s="36" t="s">
        <v>242</v>
      </c>
      <c r="E120" s="49" t="s">
        <v>355</v>
      </c>
      <c r="F120" s="49" t="s">
        <v>356</v>
      </c>
      <c r="G120" s="49" t="s">
        <v>351</v>
      </c>
    </row>
    <row r="121" spans="2:7" ht="17.25" customHeight="1"/>
    <row r="122" spans="2:7" ht="17.25" customHeight="1"/>
    <row r="123" spans="2:7" ht="17.25" customHeight="1"/>
    <row r="124" spans="2:7" ht="17.25" customHeight="1"/>
    <row r="125" spans="2:7" ht="17.25" customHeight="1"/>
    <row r="126" spans="2:7" ht="17.25" customHeight="1"/>
    <row r="127" spans="2:7" ht="17.25" customHeight="1"/>
    <row r="128" spans="2:7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  <row r="1011" ht="17.25" customHeight="1"/>
    <row r="1012" ht="17.25" customHeight="1"/>
    <row r="1013" ht="17.25" customHeight="1"/>
    <row r="1014" ht="17.25" customHeight="1"/>
    <row r="1015" ht="17.25" customHeight="1"/>
    <row r="1016" ht="17.25" customHeight="1"/>
    <row r="1017" ht="17.25" customHeight="1"/>
    <row r="1018" ht="17.25" customHeight="1"/>
    <row r="1019" ht="17.25" customHeight="1"/>
    <row r="1020" ht="17.25" customHeight="1"/>
    <row r="1021" ht="17.25" customHeight="1"/>
    <row r="1022" ht="17.25" customHeight="1"/>
    <row r="1023" ht="17.25" customHeight="1"/>
    <row r="1024" ht="17.25" customHeight="1"/>
    <row r="1025" ht="17.25" customHeight="1"/>
    <row r="1026" ht="17.25" customHeight="1"/>
    <row r="1027" ht="17.25" customHeight="1"/>
    <row r="1028" ht="17.25" customHeight="1"/>
    <row r="1029" ht="17.25" customHeight="1"/>
    <row r="1030" ht="17.25" customHeight="1"/>
    <row r="1031" ht="17.25" customHeight="1"/>
    <row r="1032" ht="17.25" customHeight="1"/>
    <row r="1033" ht="17.25" customHeight="1"/>
    <row r="1034" ht="17.25" customHeight="1"/>
    <row r="1035" ht="17.25" customHeight="1"/>
    <row r="1036" ht="17.25" customHeight="1"/>
    <row r="1037" ht="17.25" customHeight="1"/>
    <row r="1038" ht="17.25" customHeight="1"/>
    <row r="1039" ht="17.25" customHeight="1"/>
    <row r="1040" ht="17.25" customHeight="1"/>
    <row r="1041" ht="17.25" customHeight="1"/>
    <row r="1042" ht="17.25" customHeight="1"/>
    <row r="1043" ht="17.25" customHeight="1"/>
    <row r="1044" ht="17.25" customHeight="1"/>
  </sheetData>
  <autoFilter ref="B4:K4" xr:uid="{00000000-0009-0000-0000-000000000000}"/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2.59765625" defaultRowHeight="15" customHeight="1"/>
  <cols>
    <col min="1" max="1" width="3.5" customWidth="1"/>
    <col min="2" max="2" width="5.19921875" customWidth="1"/>
    <col min="3" max="3" width="28.69921875" customWidth="1"/>
    <col min="4" max="4" width="32.09765625" customWidth="1"/>
    <col min="5" max="5" width="48.5" customWidth="1"/>
    <col min="6" max="6" width="16" customWidth="1"/>
    <col min="7" max="8" width="57.69921875" customWidth="1"/>
    <col min="9" max="9" width="3.69921875" customWidth="1"/>
    <col min="10" max="10" width="19.8984375" customWidth="1"/>
    <col min="11" max="11" width="17.3984375" customWidth="1"/>
    <col min="12" max="12" width="19.8984375" customWidth="1"/>
    <col min="13" max="13" width="57.69921875" customWidth="1"/>
    <col min="14" max="14" width="4.3984375" customWidth="1"/>
    <col min="15" max="15" width="15.8984375" customWidth="1"/>
    <col min="16" max="16" width="58.5" customWidth="1"/>
    <col min="17" max="26" width="8.59765625" customWidth="1"/>
  </cols>
  <sheetData>
    <row r="1" spans="1:26" ht="17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6" ht="21" customHeight="1">
      <c r="A2" s="3"/>
      <c r="B2" s="55" t="s">
        <v>190</v>
      </c>
      <c r="C2" s="56"/>
      <c r="D2" s="56"/>
      <c r="E2" s="57"/>
      <c r="F2" s="55" t="s">
        <v>191</v>
      </c>
      <c r="G2" s="56"/>
      <c r="H2" s="58"/>
      <c r="I2" s="3"/>
      <c r="J2" s="55" t="s">
        <v>192</v>
      </c>
      <c r="K2" s="56"/>
      <c r="L2" s="56"/>
      <c r="M2" s="58"/>
      <c r="N2" s="3"/>
      <c r="O2" s="55" t="s">
        <v>193</v>
      </c>
      <c r="P2" s="58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6.5" customHeight="1">
      <c r="A3" s="2"/>
      <c r="B3" s="59" t="s">
        <v>194</v>
      </c>
      <c r="C3" s="56"/>
      <c r="D3" s="56"/>
      <c r="E3" s="57"/>
      <c r="F3" s="59" t="s">
        <v>195</v>
      </c>
      <c r="G3" s="56"/>
      <c r="H3" s="58"/>
      <c r="I3" s="2"/>
      <c r="J3" s="59" t="s">
        <v>196</v>
      </c>
      <c r="K3" s="56"/>
      <c r="L3" s="56"/>
      <c r="M3" s="58"/>
      <c r="N3" s="2"/>
      <c r="O3" s="59" t="s">
        <v>197</v>
      </c>
      <c r="P3" s="58"/>
    </row>
    <row r="4" spans="1:26" ht="10.5" customHeight="1">
      <c r="A4" s="2"/>
      <c r="B4" s="2" t="s">
        <v>198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6" ht="17.25" customHeight="1">
      <c r="A5" s="5"/>
      <c r="B5" s="6" t="s">
        <v>199</v>
      </c>
      <c r="C5" s="6" t="s">
        <v>200</v>
      </c>
      <c r="D5" s="6" t="s">
        <v>201</v>
      </c>
      <c r="E5" s="7" t="s">
        <v>202</v>
      </c>
      <c r="F5" s="8" t="s">
        <v>203</v>
      </c>
      <c r="G5" s="8" t="s">
        <v>204</v>
      </c>
      <c r="H5" s="9" t="s">
        <v>205</v>
      </c>
      <c r="I5" s="5"/>
      <c r="J5" s="10" t="s">
        <v>206</v>
      </c>
      <c r="K5" s="10" t="s">
        <v>203</v>
      </c>
      <c r="L5" s="10" t="s">
        <v>207</v>
      </c>
      <c r="M5" s="10" t="s">
        <v>208</v>
      </c>
      <c r="N5" s="5"/>
      <c r="O5" s="10" t="s">
        <v>203</v>
      </c>
      <c r="P5" s="10" t="s">
        <v>205</v>
      </c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0" customHeight="1">
      <c r="A6" s="2"/>
      <c r="B6" s="12">
        <v>1</v>
      </c>
      <c r="C6" s="13" t="s">
        <v>209</v>
      </c>
      <c r="D6" s="13" t="s">
        <v>210</v>
      </c>
      <c r="E6" s="13" t="s">
        <v>4</v>
      </c>
      <c r="F6" s="14"/>
      <c r="G6" s="15"/>
      <c r="H6" s="16" t="e">
        <f t="array" aca="1" ref="H6" ca="1">_xludf.IFS(NOT(OR(F6="Yes",F6="No")),"※ 위험 해당 여부를 선택하세요",AND(F6="yes",G6=""),"※ 상세 위험 내용을 기입하세요",AND(F6="no",G6=""),"※ 위험 미해당 사유를 기입하세요",TRUE,"")</f>
        <v>#NAME?</v>
      </c>
      <c r="I6" s="2"/>
      <c r="J6" s="13" t="s">
        <v>211</v>
      </c>
      <c r="K6" s="17"/>
      <c r="L6" s="17"/>
      <c r="M6" s="16"/>
      <c r="N6" s="2"/>
      <c r="O6" s="17"/>
      <c r="P6" s="16" t="e">
        <f t="array" aca="1" ref="P6" ca="1">_xludf.IFS(O6="","※ 담당자별로 위험 해당 여부를 선택하여 주세요.",O6="합의 필요","※ 담당자 간 위험 해당 여부를 합의하여, O열에 그 결과를 선택하세요.",TRUE,"")</f>
        <v>#NAME?</v>
      </c>
    </row>
    <row r="7" spans="1:26" ht="30" customHeight="1">
      <c r="A7" s="2"/>
      <c r="B7" s="12">
        <v>2</v>
      </c>
      <c r="C7" s="13" t="s">
        <v>209</v>
      </c>
      <c r="D7" s="13" t="s">
        <v>210</v>
      </c>
      <c r="E7" s="13" t="s">
        <v>12</v>
      </c>
      <c r="F7" s="14"/>
      <c r="G7" s="15"/>
      <c r="H7" s="16" t="e">
        <f t="array" aca="1" ref="H7" ca="1">_xludf.IFS(NOT(OR(F7="Yes",F7="No")),"※ 위험 해당 여부를 선택하세요",AND(F7="yes",G7=""),"※ 상세 위험 내용을 기입하세요",AND(F7="no",G7=""),"※ 위험 미해당 사유를 기입하세요",TRUE,"")</f>
        <v>#NAME?</v>
      </c>
      <c r="I7" s="2"/>
      <c r="J7" s="13" t="s">
        <v>211</v>
      </c>
      <c r="K7" s="17"/>
      <c r="L7" s="17"/>
      <c r="M7" s="16"/>
      <c r="N7" s="2"/>
      <c r="O7" s="17"/>
      <c r="P7" s="16" t="e">
        <f t="array" aca="1" ref="P7" ca="1">_xludf.IFS(O7="","※ 담당자별로 위험 해당 여부를 선택하여 주세요.",O7="합의 필요","※ 담당자 간 위험 해당 여부를 합의하여, O열에 그 결과를 선택하세요.",TRUE,"")</f>
        <v>#NAME?</v>
      </c>
    </row>
    <row r="8" spans="1:26" ht="30" customHeight="1">
      <c r="A8" s="2"/>
      <c r="B8" s="12">
        <v>3</v>
      </c>
      <c r="C8" s="13" t="s">
        <v>209</v>
      </c>
      <c r="D8" s="13" t="s">
        <v>212</v>
      </c>
      <c r="E8" s="13" t="s">
        <v>23</v>
      </c>
      <c r="F8" s="14"/>
      <c r="G8" s="15"/>
      <c r="H8" s="16" t="e">
        <f t="array" aca="1" ref="H8" ca="1">_xludf.IFS(NOT(OR(F8="Yes",F8="No")),"※ 위험 해당 여부를 선택하세요",AND(F8="yes",G8=""),"※ 상세 위험 내용을 기입하세요",AND(F8="no",G8=""),"※ 위험 미해당 사유를 기입하세요",TRUE,"")</f>
        <v>#NAME?</v>
      </c>
      <c r="I8" s="2"/>
      <c r="J8" s="13" t="s">
        <v>211</v>
      </c>
      <c r="K8" s="17"/>
      <c r="L8" s="17"/>
      <c r="M8" s="16"/>
      <c r="N8" s="2"/>
      <c r="O8" s="17"/>
      <c r="P8" s="16" t="e">
        <f t="array" aca="1" ref="P8" ca="1">_xludf.IFS(O8="","※ 담당자별로 위험 해당 여부를 선택하여 주세요.",O8="합의 필요","※ 담당자 간 위험 해당 여부를 합의하여, O열에 그 결과를 선택하세요.",TRUE,"")</f>
        <v>#NAME?</v>
      </c>
    </row>
    <row r="9" spans="1:26" ht="30" customHeight="1">
      <c r="A9" s="2"/>
      <c r="B9" s="12">
        <v>4</v>
      </c>
      <c r="C9" s="13" t="s">
        <v>209</v>
      </c>
      <c r="D9" s="13" t="s">
        <v>213</v>
      </c>
      <c r="E9" s="13" t="s">
        <v>44</v>
      </c>
      <c r="F9" s="14"/>
      <c r="G9" s="15"/>
      <c r="H9" s="16" t="e">
        <f t="array" aca="1" ref="H9" ca="1">_xludf.IFS(NOT(OR(F9="Yes",F9="No")),"※ 위험 해당 여부를 선택하세요",AND(F9="yes",G9=""),"※ 상세 위험 내용을 기입하세요",AND(F9="no",G9=""),"※ 위험 미해당 사유를 기입하세요",TRUE,"")</f>
        <v>#NAME?</v>
      </c>
      <c r="I9" s="2"/>
      <c r="J9" s="13" t="s">
        <v>211</v>
      </c>
      <c r="K9" s="17"/>
      <c r="L9" s="17"/>
      <c r="M9" s="16"/>
      <c r="N9" s="2"/>
      <c r="O9" s="17"/>
      <c r="P9" s="16" t="e">
        <f t="array" aca="1" ref="P9" ca="1">_xludf.IFS(O9="","※ 담당자별로 위험 해당 여부를 선택하여 주세요.",O9="합의 필요","※ 담당자 간 위험 해당 여부를 합의하여, O열에 그 결과를 선택하세요.",TRUE,"")</f>
        <v>#NAME?</v>
      </c>
    </row>
    <row r="10" spans="1:26" ht="30" customHeight="1">
      <c r="A10" s="2"/>
      <c r="B10" s="12">
        <v>5</v>
      </c>
      <c r="C10" s="13" t="s">
        <v>209</v>
      </c>
      <c r="D10" s="13" t="s">
        <v>213</v>
      </c>
      <c r="E10" s="13" t="s">
        <v>47</v>
      </c>
      <c r="F10" s="14"/>
      <c r="G10" s="15"/>
      <c r="H10" s="16" t="e">
        <f t="array" aca="1" ref="H10" ca="1">_xludf.IFS(NOT(OR(F10="Yes",F10="No")),"※ 위험 해당 여부를 선택하세요",AND(F10="yes",G10=""),"※ 상세 위험 내용을 기입하세요",AND(F10="no",G10=""),"※ 위험 미해당 사유를 기입하세요",TRUE,"")</f>
        <v>#NAME?</v>
      </c>
      <c r="I10" s="2"/>
      <c r="J10" s="13" t="s">
        <v>211</v>
      </c>
      <c r="K10" s="17"/>
      <c r="L10" s="17"/>
      <c r="M10" s="16"/>
      <c r="N10" s="2"/>
      <c r="O10" s="17"/>
      <c r="P10" s="16" t="e">
        <f t="array" aca="1" ref="P10" ca="1">_xludf.IFS(O10="","※ 담당자별로 위험 해당 여부를 선택하여 주세요.",O10="합의 필요","※ 담당자 간 위험 해당 여부를 합의하여, O열에 그 결과를 선택하세요.",TRUE,"")</f>
        <v>#NAME?</v>
      </c>
    </row>
    <row r="11" spans="1:26" ht="30" customHeight="1">
      <c r="A11" s="2"/>
      <c r="B11" s="12">
        <v>6</v>
      </c>
      <c r="C11" s="13" t="s">
        <v>209</v>
      </c>
      <c r="D11" s="13" t="s">
        <v>214</v>
      </c>
      <c r="E11" s="13" t="s">
        <v>54</v>
      </c>
      <c r="F11" s="14"/>
      <c r="G11" s="15"/>
      <c r="H11" s="16" t="e">
        <f t="array" aca="1" ref="H11" ca="1">_xludf.IFS(NOT(OR(F11="Yes",F11="No")),"※ 위험 해당 여부를 선택하세요",AND(F11="yes",G11=""),"※ 상세 위험 내용을 기입하세요",AND(F11="no",G11=""),"※ 위험 미해당 사유를 기입하세요",TRUE,"")</f>
        <v>#NAME?</v>
      </c>
      <c r="I11" s="2"/>
      <c r="J11" s="13" t="s">
        <v>211</v>
      </c>
      <c r="K11" s="17"/>
      <c r="L11" s="17"/>
      <c r="M11" s="16"/>
      <c r="N11" s="2"/>
      <c r="O11" s="17"/>
      <c r="P11" s="16" t="e">
        <f t="array" aca="1" ref="P11" ca="1">_xludf.IFS(O11="","※ 담당자별로 위험 해당 여부를 선택하여 주세요.",O11="합의 필요","※ 담당자 간 위험 해당 여부를 합의하여, O열에 그 결과를 선택하세요.",TRUE,"")</f>
        <v>#NAME?</v>
      </c>
    </row>
    <row r="12" spans="1:26" ht="30" customHeight="1">
      <c r="A12" s="2"/>
      <c r="B12" s="12">
        <v>7</v>
      </c>
      <c r="C12" s="13" t="s">
        <v>215</v>
      </c>
      <c r="D12" s="13" t="s">
        <v>216</v>
      </c>
      <c r="E12" s="13" t="s">
        <v>91</v>
      </c>
      <c r="F12" s="14"/>
      <c r="G12" s="15"/>
      <c r="H12" s="16" t="e">
        <f t="array" aca="1" ref="H12" ca="1">_xludf.IFS(NOT(OR(F12="Yes",F12="No")),"※ 위험 해당 여부를 선택하세요",AND(F12="yes",G12=""),"※ 상세 위험 내용을 기입하세요",AND(F12="no",G12=""),"※ 위험 미해당 사유를 기입하세요",TRUE,"")</f>
        <v>#NAME?</v>
      </c>
      <c r="I12" s="2"/>
      <c r="J12" s="13" t="s">
        <v>217</v>
      </c>
      <c r="K12" s="17"/>
      <c r="L12" s="17"/>
      <c r="M12" s="16"/>
      <c r="N12" s="2"/>
      <c r="O12" s="17"/>
      <c r="P12" s="16" t="e">
        <f t="array" aca="1" ref="P12" ca="1">_xludf.IFS(O12="","※ 담당자별로 위험 해당 여부를 선택하여 주세요.",O12="합의 필요","※ 담당자 간 위험 해당 여부를 합의하여, O열에 그 결과를 선택하세요.",TRUE,"")</f>
        <v>#NAME?</v>
      </c>
    </row>
    <row r="13" spans="1:26" ht="30" customHeight="1">
      <c r="A13" s="2"/>
      <c r="B13" s="12">
        <v>8</v>
      </c>
      <c r="C13" s="13" t="s">
        <v>215</v>
      </c>
      <c r="D13" s="13" t="s">
        <v>216</v>
      </c>
      <c r="E13" s="13" t="s">
        <v>98</v>
      </c>
      <c r="F13" s="14"/>
      <c r="G13" s="15"/>
      <c r="H13" s="16" t="e">
        <f t="array" aca="1" ref="H13" ca="1">_xludf.IFS(NOT(OR(F13="Yes",F13="No")),"※ 위험 해당 여부를 선택하세요",AND(F13="yes",G13=""),"※ 상세 위험 내용을 기입하세요",AND(F13="no",G13=""),"※ 위험 미해당 사유를 기입하세요",TRUE,"")</f>
        <v>#NAME?</v>
      </c>
      <c r="I13" s="2"/>
      <c r="J13" s="13" t="s">
        <v>217</v>
      </c>
      <c r="K13" s="17"/>
      <c r="L13" s="17"/>
      <c r="M13" s="16"/>
      <c r="N13" s="2"/>
      <c r="O13" s="17"/>
      <c r="P13" s="16" t="e">
        <f t="array" aca="1" ref="P13" ca="1">_xludf.IFS(O13="","※ 담당자별로 위험 해당 여부를 선택하여 주세요.",O13="합의 필요","※ 담당자 간 위험 해당 여부를 합의하여, O열에 그 결과를 선택하세요.",TRUE,"")</f>
        <v>#NAME?</v>
      </c>
    </row>
    <row r="14" spans="1:26" ht="30" customHeight="1">
      <c r="A14" s="2"/>
      <c r="B14" s="12">
        <v>9</v>
      </c>
      <c r="C14" s="13" t="s">
        <v>215</v>
      </c>
      <c r="D14" s="13" t="s">
        <v>216</v>
      </c>
      <c r="E14" s="13" t="s">
        <v>63</v>
      </c>
      <c r="F14" s="14"/>
      <c r="G14" s="15"/>
      <c r="H14" s="16" t="e">
        <f t="array" aca="1" ref="H14" ca="1">_xludf.IFS(NOT(OR(F14="Yes",F14="No")),"※ 위험 해당 여부를 선택하세요",AND(F14="yes",G14=""),"※ 상세 위험 내용을 기입하세요",AND(F14="no",G14=""),"※ 위험 미해당 사유를 기입하세요",TRUE,"")</f>
        <v>#NAME?</v>
      </c>
      <c r="I14" s="2"/>
      <c r="J14" s="13" t="s">
        <v>217</v>
      </c>
      <c r="K14" s="17"/>
      <c r="L14" s="17"/>
      <c r="M14" s="16"/>
      <c r="N14" s="2"/>
      <c r="O14" s="17"/>
      <c r="P14" s="16" t="e">
        <f t="array" aca="1" ref="P14" ca="1">_xludf.IFS(O14="","※ 담당자별로 위험 해당 여부를 선택하여 주세요.",O14="합의 필요","※ 담당자 간 위험 해당 여부를 합의하여, O열에 그 결과를 선택하세요.",TRUE,"")</f>
        <v>#NAME?</v>
      </c>
    </row>
    <row r="15" spans="1:26" ht="30" customHeight="1">
      <c r="A15" s="2"/>
      <c r="B15" s="12">
        <v>10</v>
      </c>
      <c r="C15" s="13" t="s">
        <v>215</v>
      </c>
      <c r="D15" s="13" t="s">
        <v>218</v>
      </c>
      <c r="E15" s="13" t="s">
        <v>67</v>
      </c>
      <c r="F15" s="14"/>
      <c r="G15" s="15"/>
      <c r="H15" s="16" t="e">
        <f t="array" aca="1" ref="H15" ca="1">_xludf.IFS(NOT(OR(F15="Yes",F15="No")),"※ 위험 해당 여부를 선택하세요",AND(F15="yes",G15=""),"※ 상세 위험 내용을 기입하세요",AND(F15="no",G15=""),"※ 위험 미해당 사유를 기입하세요",TRUE,"")</f>
        <v>#NAME?</v>
      </c>
      <c r="I15" s="2"/>
      <c r="J15" s="13" t="s">
        <v>217</v>
      </c>
      <c r="K15" s="17"/>
      <c r="L15" s="17"/>
      <c r="M15" s="16"/>
      <c r="N15" s="2"/>
      <c r="O15" s="17"/>
      <c r="P15" s="16" t="e">
        <f t="array" aca="1" ref="P15" ca="1">_xludf.IFS(O15="","※ 담당자별로 위험 해당 여부를 선택하여 주세요.",O15="합의 필요","※ 담당자 간 위험 해당 여부를 합의하여, O열에 그 결과를 선택하세요.",TRUE,"")</f>
        <v>#NAME?</v>
      </c>
    </row>
    <row r="16" spans="1:26" ht="30" customHeight="1">
      <c r="A16" s="2"/>
      <c r="B16" s="12">
        <v>11</v>
      </c>
      <c r="C16" s="13" t="s">
        <v>215</v>
      </c>
      <c r="D16" s="13" t="s">
        <v>219</v>
      </c>
      <c r="E16" s="13" t="s">
        <v>106</v>
      </c>
      <c r="F16" s="14"/>
      <c r="G16" s="15"/>
      <c r="H16" s="16" t="e">
        <f t="array" aca="1" ref="H16" ca="1">_xludf.IFS(NOT(OR(F16="Yes",F16="No")),"※ 위험 해당 여부를 선택하세요",AND(F16="yes",G16=""),"※ 상세 위험 내용을 기입하세요",AND(F16="no",G16=""),"※ 위험 미해당 사유를 기입하세요",TRUE,"")</f>
        <v>#NAME?</v>
      </c>
      <c r="I16" s="2"/>
      <c r="J16" s="13" t="s">
        <v>217</v>
      </c>
      <c r="K16" s="17"/>
      <c r="L16" s="17"/>
      <c r="M16" s="16"/>
      <c r="N16" s="2"/>
      <c r="O16" s="17"/>
      <c r="P16" s="16" t="e">
        <f t="array" aca="1" ref="P16" ca="1">_xludf.IFS(O16="","※ 담당자별로 위험 해당 여부를 선택하여 주세요.",O16="합의 필요","※ 담당자 간 위험 해당 여부를 합의하여, O열에 그 결과를 선택하세요.",TRUE,"")</f>
        <v>#NAME?</v>
      </c>
    </row>
    <row r="17" spans="1:16" ht="30" customHeight="1">
      <c r="A17" s="2"/>
      <c r="B17" s="12">
        <v>12</v>
      </c>
      <c r="C17" s="13" t="s">
        <v>215</v>
      </c>
      <c r="D17" s="13" t="s">
        <v>220</v>
      </c>
      <c r="E17" s="13" t="s">
        <v>221</v>
      </c>
      <c r="F17" s="14"/>
      <c r="G17" s="15"/>
      <c r="H17" s="16" t="e">
        <f t="array" aca="1" ref="H17" ca="1">_xludf.IFS(NOT(OR(F17="Yes",F17="No")),"※ 위험 해당 여부를 선택하세요",AND(F17="yes",G17=""),"※ 상세 위험 내용을 기입하세요",AND(F17="no",G17=""),"※ 위험 미해당 사유를 기입하세요",TRUE,"")</f>
        <v>#NAME?</v>
      </c>
      <c r="I17" s="2"/>
      <c r="J17" s="13" t="s">
        <v>211</v>
      </c>
      <c r="K17" s="17"/>
      <c r="L17" s="17"/>
      <c r="M17" s="16"/>
      <c r="N17" s="2"/>
      <c r="O17" s="17"/>
      <c r="P17" s="16" t="e">
        <f t="array" aca="1" ref="P17" ca="1">_xludf.IFS(O17="","※ 담당자별로 위험 해당 여부를 선택하여 주세요.",O17="합의 필요","※ 담당자 간 위험 해당 여부를 합의하여, O열에 그 결과를 선택하세요.",TRUE,"")</f>
        <v>#NAME?</v>
      </c>
    </row>
    <row r="18" spans="1:16" ht="30" customHeight="1">
      <c r="A18" s="2"/>
      <c r="B18" s="12">
        <v>13</v>
      </c>
      <c r="C18" s="13" t="s">
        <v>215</v>
      </c>
      <c r="D18" s="13" t="s">
        <v>222</v>
      </c>
      <c r="E18" s="13" t="s">
        <v>122</v>
      </c>
      <c r="F18" s="14"/>
      <c r="G18" s="15"/>
      <c r="H18" s="16" t="e">
        <f t="array" aca="1" ref="H18" ca="1">_xludf.IFS(NOT(OR(F18="Yes",F18="No")),"※ 위험 해당 여부를 선택하세요",AND(F18="yes",G18=""),"※ 상세 위험 내용을 기입하세요",AND(F18="no",G18=""),"※ 위험 미해당 사유를 기입하세요",TRUE,"")</f>
        <v>#NAME?</v>
      </c>
      <c r="I18" s="2"/>
      <c r="J18" s="13" t="s">
        <v>217</v>
      </c>
      <c r="K18" s="17"/>
      <c r="L18" s="17"/>
      <c r="M18" s="16"/>
      <c r="N18" s="2"/>
      <c r="O18" s="17"/>
      <c r="P18" s="16" t="e">
        <f t="array" aca="1" ref="P18" ca="1">_xludf.IFS(O18="","※ 담당자별로 위험 해당 여부를 선택하여 주세요.",O18="합의 필요","※ 담당자 간 위험 해당 여부를 합의하여, O열에 그 결과를 선택하세요.",TRUE,"")</f>
        <v>#NAME?</v>
      </c>
    </row>
    <row r="19" spans="1:16" ht="30" customHeight="1">
      <c r="A19" s="2"/>
      <c r="B19" s="12">
        <v>14</v>
      </c>
      <c r="C19" s="13" t="s">
        <v>215</v>
      </c>
      <c r="D19" s="13" t="s">
        <v>222</v>
      </c>
      <c r="E19" s="13" t="s">
        <v>131</v>
      </c>
      <c r="F19" s="14"/>
      <c r="G19" s="15"/>
      <c r="H19" s="16" t="e">
        <f t="array" aca="1" ref="H19" ca="1">_xludf.IFS(NOT(OR(F19="Yes",F19="No")),"※ 위험 해당 여부를 선택하세요",AND(F19="yes",G19=""),"※ 상세 위험 내용을 기입하세요",AND(F19="no",G19=""),"※ 위험 미해당 사유를 기입하세요",TRUE,"")</f>
        <v>#NAME?</v>
      </c>
      <c r="I19" s="2"/>
      <c r="J19" s="13" t="s">
        <v>217</v>
      </c>
      <c r="K19" s="17"/>
      <c r="L19" s="17"/>
      <c r="M19" s="16"/>
      <c r="N19" s="2"/>
      <c r="O19" s="17"/>
      <c r="P19" s="16" t="e">
        <f t="array" aca="1" ref="P19" ca="1">_xludf.IFS(O19="","※ 담당자별로 위험 해당 여부를 선택하여 주세요.",O19="합의 필요","※ 담당자 간 위험 해당 여부를 합의하여, O열에 그 결과를 선택하세요.",TRUE,"")</f>
        <v>#NAME?</v>
      </c>
    </row>
    <row r="20" spans="1:16" ht="30" customHeight="1">
      <c r="A20" s="2"/>
      <c r="B20" s="12">
        <v>15</v>
      </c>
      <c r="C20" s="13" t="s">
        <v>215</v>
      </c>
      <c r="D20" s="13" t="s">
        <v>222</v>
      </c>
      <c r="E20" s="13" t="s">
        <v>141</v>
      </c>
      <c r="F20" s="14"/>
      <c r="G20" s="15"/>
      <c r="H20" s="16" t="e">
        <f t="array" aca="1" ref="H20" ca="1">_xludf.IFS(NOT(OR(F20="Yes",F20="No")),"※ 위험 해당 여부를 선택하세요",AND(F20="yes",G20=""),"※ 상세 위험 내용을 기입하세요",AND(F20="no",G20=""),"※ 위험 미해당 사유를 기입하세요",TRUE,"")</f>
        <v>#NAME?</v>
      </c>
      <c r="I20" s="2"/>
      <c r="J20" s="13" t="s">
        <v>217</v>
      </c>
      <c r="K20" s="17"/>
      <c r="L20" s="17"/>
      <c r="M20" s="16"/>
      <c r="N20" s="2"/>
      <c r="O20" s="17"/>
      <c r="P20" s="16" t="e">
        <f t="array" aca="1" ref="P20" ca="1">_xludf.IFS(O20="","※ 담당자별로 위험 해당 여부를 선택하여 주세요.",O20="합의 필요","※ 담당자 간 위험 해당 여부를 합의하여, O열에 그 결과를 선택하세요.",TRUE,"")</f>
        <v>#NAME?</v>
      </c>
    </row>
    <row r="21" spans="1:16" ht="30" customHeight="1">
      <c r="A21" s="2"/>
      <c r="B21" s="12">
        <v>16</v>
      </c>
      <c r="C21" s="13" t="s">
        <v>215</v>
      </c>
      <c r="D21" s="13" t="s">
        <v>222</v>
      </c>
      <c r="E21" s="13" t="s">
        <v>151</v>
      </c>
      <c r="F21" s="14"/>
      <c r="G21" s="15"/>
      <c r="H21" s="16" t="e">
        <f t="array" aca="1" ref="H21" ca="1">_xludf.IFS(NOT(OR(F21="Yes",F21="No")),"※ 위험 해당 여부를 선택하세요",AND(F21="yes",G21=""),"※ 상세 위험 내용을 기입하세요",AND(F21="no",G21=""),"※ 위험 미해당 사유를 기입하세요",TRUE,"")</f>
        <v>#NAME?</v>
      </c>
      <c r="I21" s="2"/>
      <c r="J21" s="13" t="s">
        <v>211</v>
      </c>
      <c r="K21" s="17"/>
      <c r="L21" s="17"/>
      <c r="M21" s="16"/>
      <c r="N21" s="2"/>
      <c r="O21" s="17"/>
      <c r="P21" s="16" t="e">
        <f t="array" aca="1" ref="P21" ca="1">_xludf.IFS(O21="","※ 담당자별로 위험 해당 여부를 선택하여 주세요.",O21="합의 필요","※ 담당자 간 위험 해당 여부를 합의하여, O열에 그 결과를 선택하세요.",TRUE,"")</f>
        <v>#NAME?</v>
      </c>
    </row>
    <row r="22" spans="1:16" ht="30" customHeight="1">
      <c r="A22" s="2"/>
      <c r="B22" s="12">
        <v>17</v>
      </c>
      <c r="C22" s="13" t="s">
        <v>215</v>
      </c>
      <c r="D22" s="13" t="s">
        <v>222</v>
      </c>
      <c r="E22" s="13" t="s">
        <v>161</v>
      </c>
      <c r="F22" s="14"/>
      <c r="G22" s="15"/>
      <c r="H22" s="16" t="e">
        <f t="array" aca="1" ref="H22" ca="1">_xludf.IFS(NOT(OR(F22="Yes",F22="No")),"※ 위험 해당 여부를 선택하세요",AND(F22="yes",G22=""),"※ 상세 위험 내용을 기입하세요",AND(F22="no",G22=""),"※ 위험 미해당 사유를 기입하세요",TRUE,"")</f>
        <v>#NAME?</v>
      </c>
      <c r="I22" s="2"/>
      <c r="J22" s="13" t="s">
        <v>211</v>
      </c>
      <c r="K22" s="17"/>
      <c r="L22" s="17"/>
      <c r="M22" s="16"/>
      <c r="N22" s="2"/>
      <c r="O22" s="17"/>
      <c r="P22" s="16" t="e">
        <f t="array" aca="1" ref="P22" ca="1">_xludf.IFS(O22="","※ 담당자별로 위험 해당 여부를 선택하여 주세요.",O22="합의 필요","※ 담당자 간 위험 해당 여부를 합의하여, O열에 그 결과를 선택하세요.",TRUE,"")</f>
        <v>#NAME?</v>
      </c>
    </row>
    <row r="23" spans="1:16" ht="30" customHeight="1">
      <c r="A23" s="2"/>
      <c r="B23" s="12">
        <v>18</v>
      </c>
      <c r="C23" s="13" t="s">
        <v>223</v>
      </c>
      <c r="D23" s="13" t="s">
        <v>224</v>
      </c>
      <c r="E23" s="13" t="s">
        <v>170</v>
      </c>
      <c r="F23" s="14"/>
      <c r="G23" s="15"/>
      <c r="H23" s="16" t="e">
        <f t="array" aca="1" ref="H23" ca="1">_xludf.IFS(NOT(OR(F23="Yes",F23="No")),"※ 위험 해당 여부를 선택하세요",AND(F23="yes",G23=""),"※ 상세 위험 내용을 기입하세요",AND(F23="no",G23=""),"※ 위험 미해당 사유를 기입하세요",TRUE,"")</f>
        <v>#NAME?</v>
      </c>
      <c r="I23" s="2"/>
      <c r="J23" s="13" t="s">
        <v>211</v>
      </c>
      <c r="K23" s="17"/>
      <c r="L23" s="17"/>
      <c r="M23" s="16"/>
      <c r="N23" s="2"/>
      <c r="O23" s="17"/>
      <c r="P23" s="16" t="e">
        <f t="array" aca="1" ref="P23" ca="1">_xludf.IFS(O23="","※ 담당자별로 위험 해당 여부를 선택하여 주세요.",O23="합의 필요","※ 담당자 간 위험 해당 여부를 합의하여, O열에 그 결과를 선택하세요.",TRUE,"")</f>
        <v>#NAME?</v>
      </c>
    </row>
    <row r="24" spans="1:16" ht="30" customHeight="1">
      <c r="A24" s="2"/>
      <c r="B24" s="12">
        <v>19</v>
      </c>
      <c r="C24" s="13" t="s">
        <v>223</v>
      </c>
      <c r="D24" s="13" t="s">
        <v>225</v>
      </c>
      <c r="E24" s="13" t="s">
        <v>180</v>
      </c>
      <c r="F24" s="14"/>
      <c r="G24" s="15"/>
      <c r="H24" s="16" t="e">
        <f t="array" aca="1" ref="H24" ca="1">_xludf.IFS(NOT(OR(F24="Yes",F24="No")),"※ 위험 해당 여부를 선택하세요",AND(F24="yes",G24=""),"※ 상세 위험 내용을 기입하세요",AND(F24="no",G24=""),"※ 위험 미해당 사유를 기입하세요",TRUE,"")</f>
        <v>#NAME?</v>
      </c>
      <c r="I24" s="2"/>
      <c r="J24" s="13" t="s">
        <v>211</v>
      </c>
      <c r="K24" s="17"/>
      <c r="L24" s="17"/>
      <c r="M24" s="16"/>
      <c r="N24" s="2"/>
      <c r="O24" s="17"/>
      <c r="P24" s="16" t="e">
        <f t="array" aca="1" ref="P24" ca="1">_xludf.IFS(O24="","※ 담당자별로 위험 해당 여부를 선택하여 주세요.",O24="합의 필요","※ 담당자 간 위험 해당 여부를 합의하여, O열에 그 결과를 선택하세요.",TRUE,"")</f>
        <v>#NAME?</v>
      </c>
    </row>
    <row r="25" spans="1:16" ht="30" customHeight="1">
      <c r="A25" s="2"/>
      <c r="B25" s="12">
        <v>20</v>
      </c>
      <c r="C25" s="13" t="s">
        <v>223</v>
      </c>
      <c r="D25" s="13" t="s">
        <v>226</v>
      </c>
      <c r="E25" s="13" t="s">
        <v>73</v>
      </c>
      <c r="F25" s="14"/>
      <c r="G25" s="15"/>
      <c r="H25" s="16" t="e">
        <f t="array" aca="1" ref="H25" ca="1">_xludf.IFS(NOT(OR(F25="Yes",F25="No")),"※ 위험 해당 여부를 선택하세요",AND(F25="yes",G25=""),"※ 상세 위험 내용을 기입하세요",AND(F25="no",G25=""),"※ 위험 미해당 사유를 기입하세요",TRUE,"")</f>
        <v>#NAME?</v>
      </c>
      <c r="I25" s="2"/>
      <c r="J25" s="13" t="s">
        <v>211</v>
      </c>
      <c r="K25" s="17"/>
      <c r="L25" s="17"/>
      <c r="M25" s="16"/>
      <c r="N25" s="2"/>
      <c r="O25" s="17"/>
      <c r="P25" s="16" t="e">
        <f t="array" aca="1" ref="P25" ca="1">_xludf.IFS(O25="","※ 담당자별로 위험 해당 여부를 선택하여 주세요.",O25="합의 필요","※ 담당자 간 위험 해당 여부를 합의하여, O열에 그 결과를 선택하세요.",TRUE,"")</f>
        <v>#NAME?</v>
      </c>
    </row>
    <row r="26" spans="1:16" ht="30" customHeight="1">
      <c r="A26" s="2"/>
      <c r="B26" s="12">
        <v>21</v>
      </c>
      <c r="C26" s="13" t="s">
        <v>223</v>
      </c>
      <c r="D26" s="13" t="s">
        <v>226</v>
      </c>
      <c r="E26" s="13" t="s">
        <v>83</v>
      </c>
      <c r="F26" s="14"/>
      <c r="G26" s="15"/>
      <c r="H26" s="16" t="e">
        <f t="array" aca="1" ref="H26" ca="1">_xludf.IFS(NOT(OR(F26="Yes",F26="No")),"※ 위험 해당 여부를 선택하세요",AND(F26="yes",G26=""),"※ 상세 위험 내용을 기입하세요",AND(F26="no",G26=""),"※ 위험 미해당 사유를 기입하세요",TRUE,"")</f>
        <v>#NAME?</v>
      </c>
      <c r="I26" s="2"/>
      <c r="J26" s="13" t="s">
        <v>211</v>
      </c>
      <c r="K26" s="17"/>
      <c r="L26" s="17"/>
      <c r="M26" s="16"/>
      <c r="N26" s="2"/>
      <c r="O26" s="17"/>
      <c r="P26" s="16" t="e">
        <f t="array" aca="1" ref="P26" ca="1">_xludf.IFS(O26="","※ 담당자별로 위험 해당 여부를 선택하여 주세요.",O26="합의 필요","※ 담당자 간 위험 해당 여부를 합의하여, O열에 그 결과를 선택하세요.",TRUE,"")</f>
        <v>#NAME?</v>
      </c>
    </row>
    <row r="27" spans="1:16" ht="30" customHeight="1">
      <c r="A27" s="2"/>
      <c r="B27" s="12">
        <v>22</v>
      </c>
      <c r="C27" s="13" t="s">
        <v>227</v>
      </c>
      <c r="D27" s="13" t="s">
        <v>228</v>
      </c>
      <c r="E27" s="13" t="s">
        <v>229</v>
      </c>
      <c r="F27" s="14"/>
      <c r="G27" s="15"/>
      <c r="H27" s="16" t="e">
        <f t="array" aca="1" ref="H27" ca="1">_xludf.IFS(NOT(OR(F27="Yes",F27="No")),"※ 위험 해당 여부를 선택하세요",AND(F27="yes",G27=""),"※ 상세 위험 내용을 기입하세요",AND(F27="no",G27=""),"※ 위험 미해당 사유를 기입하세요",TRUE,"")</f>
        <v>#NAME?</v>
      </c>
      <c r="I27" s="2"/>
      <c r="J27" s="13" t="s">
        <v>217</v>
      </c>
      <c r="K27" s="17"/>
      <c r="L27" s="17"/>
      <c r="M27" s="16"/>
      <c r="N27" s="2"/>
      <c r="O27" s="17"/>
      <c r="P27" s="16" t="e">
        <f t="array" aca="1" ref="P27" ca="1">_xludf.IFS(O27="","※ 담당자별로 위험 해당 여부를 선택하여 주세요.",O27="합의 필요","※ 담당자 간 위험 해당 여부를 합의하여, O열에 그 결과를 선택하세요.",TRUE,"")</f>
        <v>#NAME?</v>
      </c>
    </row>
    <row r="28" spans="1:16" ht="30" customHeight="1">
      <c r="A28" s="2"/>
      <c r="B28" s="12">
        <v>23</v>
      </c>
      <c r="C28" s="13" t="s">
        <v>227</v>
      </c>
      <c r="D28" s="13" t="s">
        <v>228</v>
      </c>
      <c r="E28" s="13" t="s">
        <v>230</v>
      </c>
      <c r="F28" s="14"/>
      <c r="G28" s="15"/>
      <c r="H28" s="16" t="e">
        <f t="array" aca="1" ref="H28" ca="1">_xludf.IFS(NOT(OR(F28="Yes",F28="No")),"※ 위험 해당 여부를 선택하세요",AND(F28="yes",G28=""),"※ 상세 위험 내용을 기입하세요",AND(F28="no",G28=""),"※ 위험 미해당 사유를 기입하세요",TRUE,"")</f>
        <v>#NAME?</v>
      </c>
      <c r="I28" s="2"/>
      <c r="J28" s="13" t="s">
        <v>217</v>
      </c>
      <c r="K28" s="17"/>
      <c r="L28" s="17"/>
      <c r="M28" s="16"/>
      <c r="N28" s="2"/>
      <c r="O28" s="17"/>
      <c r="P28" s="16" t="e">
        <f t="array" aca="1" ref="P28" ca="1">_xludf.IFS(O28="","※ 담당자별로 위험 해당 여부를 선택하여 주세요.",O28="합의 필요","※ 담당자 간 위험 해당 여부를 합의하여, O열에 그 결과를 선택하세요.",TRUE,"")</f>
        <v>#NAME?</v>
      </c>
    </row>
    <row r="29" spans="1:16" ht="30" customHeight="1">
      <c r="A29" s="2"/>
      <c r="B29" s="12">
        <v>24</v>
      </c>
      <c r="C29" s="13" t="s">
        <v>227</v>
      </c>
      <c r="D29" s="13" t="s">
        <v>228</v>
      </c>
      <c r="E29" s="13" t="s">
        <v>231</v>
      </c>
      <c r="F29" s="14"/>
      <c r="G29" s="15"/>
      <c r="H29" s="16" t="e">
        <f t="array" aca="1" ref="H29" ca="1">_xludf.IFS(NOT(OR(F29="Yes",F29="No")),"※ 위험 해당 여부를 선택하세요",AND(F29="yes",G29=""),"※ 상세 위험 내용을 기입하세요",AND(F29="no",G29=""),"※ 위험 미해당 사유를 기입하세요",TRUE,"")</f>
        <v>#NAME?</v>
      </c>
      <c r="I29" s="2"/>
      <c r="J29" s="13" t="s">
        <v>211</v>
      </c>
      <c r="K29" s="17"/>
      <c r="L29" s="17"/>
      <c r="M29" s="16"/>
      <c r="N29" s="2"/>
      <c r="O29" s="17"/>
      <c r="P29" s="16" t="e">
        <f t="array" aca="1" ref="P29" ca="1">_xludf.IFS(O29="","※ 담당자별로 위험 해당 여부를 선택하여 주세요.",O29="합의 필요","※ 담당자 간 위험 해당 여부를 합의하여, O열에 그 결과를 선택하세요.",TRUE,"")</f>
        <v>#NAME?</v>
      </c>
    </row>
    <row r="30" spans="1:16" ht="30" customHeight="1">
      <c r="A30" s="2"/>
      <c r="B30" s="12">
        <v>25</v>
      </c>
      <c r="C30" s="13" t="s">
        <v>227</v>
      </c>
      <c r="D30" s="13" t="s">
        <v>228</v>
      </c>
      <c r="E30" s="13" t="s">
        <v>232</v>
      </c>
      <c r="F30" s="14"/>
      <c r="G30" s="15"/>
      <c r="H30" s="16" t="e">
        <f t="array" aca="1" ref="H30" ca="1">_xludf.IFS(NOT(OR(F30="Yes",F30="No")),"※ 위험 해당 여부를 선택하세요",AND(F30="yes",G30=""),"※ 상세 위험 내용을 기입하세요",AND(F30="no",G30=""),"※ 위험 미해당 사유를 기입하세요",TRUE,"")</f>
        <v>#NAME?</v>
      </c>
      <c r="I30" s="2"/>
      <c r="J30" s="13" t="s">
        <v>217</v>
      </c>
      <c r="K30" s="17"/>
      <c r="L30" s="17"/>
      <c r="M30" s="16"/>
      <c r="N30" s="2"/>
      <c r="O30" s="17"/>
      <c r="P30" s="16" t="e">
        <f t="array" aca="1" ref="P30" ca="1">_xludf.IFS(O30="","※ 담당자별로 위험 해당 여부를 선택하여 주세요.",O30="합의 필요","※ 담당자 간 위험 해당 여부를 합의하여, O열에 그 결과를 선택하세요.",TRUE,"")</f>
        <v>#NAME?</v>
      </c>
    </row>
    <row r="31" spans="1:16" ht="30" customHeight="1">
      <c r="A31" s="2"/>
      <c r="B31" s="12">
        <v>26</v>
      </c>
      <c r="C31" s="13" t="s">
        <v>227</v>
      </c>
      <c r="D31" s="13" t="s">
        <v>228</v>
      </c>
      <c r="E31" s="13" t="s">
        <v>233</v>
      </c>
      <c r="F31" s="14"/>
      <c r="G31" s="15"/>
      <c r="H31" s="16" t="e">
        <f t="array" aca="1" ref="H31" ca="1">_xludf.IFS(NOT(OR(F31="Yes",F31="No")),"※ 위험 해당 여부를 선택하세요",AND(F31="yes",G31=""),"※ 상세 위험 내용을 기입하세요",AND(F31="no",G31=""),"※ 위험 미해당 사유를 기입하세요",TRUE,"")</f>
        <v>#NAME?</v>
      </c>
      <c r="I31" s="2"/>
      <c r="J31" s="13" t="s">
        <v>211</v>
      </c>
      <c r="K31" s="17"/>
      <c r="L31" s="17"/>
      <c r="M31" s="16"/>
      <c r="N31" s="2"/>
      <c r="O31" s="17"/>
      <c r="P31" s="16" t="e">
        <f t="array" aca="1" ref="P31" ca="1">_xludf.IFS(O31="","※ 담당자별로 위험 해당 여부를 선택하여 주세요.",O31="합의 필요","※ 담당자 간 위험 해당 여부를 합의하여, O열에 그 결과를 선택하세요.",TRUE,"")</f>
        <v>#NAME?</v>
      </c>
    </row>
    <row r="32" spans="1:16" ht="30" customHeight="1">
      <c r="A32" s="2"/>
      <c r="B32" s="12">
        <v>27</v>
      </c>
      <c r="C32" s="13" t="s">
        <v>227</v>
      </c>
      <c r="D32" s="13" t="s">
        <v>234</v>
      </c>
      <c r="E32" s="13" t="s">
        <v>235</v>
      </c>
      <c r="F32" s="14"/>
      <c r="G32" s="15"/>
      <c r="H32" s="16" t="e">
        <f t="array" aca="1" ref="H32" ca="1">_xludf.IFS(NOT(OR(F32="Yes",F32="No")),"※ 위험 해당 여부를 선택하세요",AND(F32="yes",G32=""),"※ 상세 위험 내용을 기입하세요",AND(F32="no",G32=""),"※ 위험 미해당 사유를 기입하세요",TRUE,"")</f>
        <v>#NAME?</v>
      </c>
      <c r="I32" s="2"/>
      <c r="J32" s="13" t="s">
        <v>217</v>
      </c>
      <c r="K32" s="17"/>
      <c r="L32" s="17"/>
      <c r="M32" s="16"/>
      <c r="N32" s="2"/>
      <c r="O32" s="17"/>
      <c r="P32" s="16" t="e">
        <f t="array" aca="1" ref="P32" ca="1">_xludf.IFS(O32="","※ 담당자별로 위험 해당 여부를 선택하여 주세요.",O32="합의 필요","※ 담당자 간 위험 해당 여부를 합의하여, O열에 그 결과를 선택하세요.",TRUE,"")</f>
        <v>#NAME?</v>
      </c>
    </row>
    <row r="33" spans="1:16" ht="30" customHeight="1">
      <c r="A33" s="2"/>
      <c r="B33" s="12">
        <v>28</v>
      </c>
      <c r="C33" s="13" t="s">
        <v>227</v>
      </c>
      <c r="D33" s="13" t="s">
        <v>236</v>
      </c>
      <c r="E33" s="13" t="s">
        <v>237</v>
      </c>
      <c r="F33" s="14"/>
      <c r="G33" s="15"/>
      <c r="H33" s="16" t="e">
        <f t="array" aca="1" ref="H33" ca="1">_xludf.IFS(NOT(OR(F33="Yes",F33="No")),"※ 위험 해당 여부를 선택하세요",AND(F33="yes",G33=""),"※ 상세 위험 내용을 기입하세요",AND(F33="no",G33=""),"※ 위험 미해당 사유를 기입하세요",TRUE,"")</f>
        <v>#NAME?</v>
      </c>
      <c r="I33" s="2"/>
      <c r="J33" s="13" t="s">
        <v>211</v>
      </c>
      <c r="K33" s="17"/>
      <c r="L33" s="17"/>
      <c r="M33" s="16"/>
      <c r="N33" s="2"/>
      <c r="O33" s="17"/>
      <c r="P33" s="16" t="e">
        <f t="array" aca="1" ref="P33" ca="1">_xludf.IFS(O33="","※ 담당자별로 위험 해당 여부를 선택하여 주세요.",O33="합의 필요","※ 담당자 간 위험 해당 여부를 합의하여, O열에 그 결과를 선택하세요.",TRUE,"")</f>
        <v>#NAME?</v>
      </c>
    </row>
    <row r="34" spans="1:16" ht="30" customHeight="1">
      <c r="A34" s="2"/>
      <c r="B34" s="12">
        <v>29</v>
      </c>
      <c r="C34" s="13" t="s">
        <v>227</v>
      </c>
      <c r="D34" s="13" t="s">
        <v>236</v>
      </c>
      <c r="E34" s="13" t="s">
        <v>238</v>
      </c>
      <c r="F34" s="14"/>
      <c r="G34" s="15"/>
      <c r="H34" s="16" t="e">
        <f t="array" aca="1" ref="H34" ca="1">_xludf.IFS(NOT(OR(F34="Yes",F34="No")),"※ 위험 해당 여부를 선택하세요",AND(F34="yes",G34=""),"※ 상세 위험 내용을 기입하세요",AND(F34="no",G34=""),"※ 위험 미해당 사유를 기입하세요",TRUE,"")</f>
        <v>#NAME?</v>
      </c>
      <c r="I34" s="2"/>
      <c r="J34" s="13" t="s">
        <v>211</v>
      </c>
      <c r="K34" s="17"/>
      <c r="L34" s="17"/>
      <c r="M34" s="16"/>
      <c r="N34" s="2"/>
      <c r="O34" s="17"/>
      <c r="P34" s="16" t="e">
        <f t="array" aca="1" ref="P34" ca="1">_xludf.IFS(O34="","※ 담당자별로 위험 해당 여부를 선택하여 주세요.",O34="합의 필요","※ 담당자 간 위험 해당 여부를 합의하여, O열에 그 결과를 선택하세요.",TRUE,"")</f>
        <v>#NAME?</v>
      </c>
    </row>
    <row r="35" spans="1:16" ht="30" customHeight="1">
      <c r="A35" s="2"/>
      <c r="B35" s="12">
        <v>30</v>
      </c>
      <c r="C35" s="13" t="s">
        <v>227</v>
      </c>
      <c r="D35" s="13" t="s">
        <v>239</v>
      </c>
      <c r="E35" s="13" t="s">
        <v>240</v>
      </c>
      <c r="F35" s="14"/>
      <c r="G35" s="15"/>
      <c r="H35" s="16" t="e">
        <f t="array" aca="1" ref="H35" ca="1">_xludf.IFS(NOT(OR(F35="Yes",F35="No")),"※ 위험 해당 여부를 선택하세요",AND(F35="yes",G35=""),"※ 상세 위험 내용을 기입하세요",AND(F35="no",G35=""),"※ 위험 미해당 사유를 기입하세요",TRUE,"")</f>
        <v>#NAME?</v>
      </c>
      <c r="I35" s="2"/>
      <c r="J35" s="13" t="s">
        <v>211</v>
      </c>
      <c r="K35" s="17"/>
      <c r="L35" s="17"/>
      <c r="M35" s="16"/>
      <c r="N35" s="2"/>
      <c r="O35" s="17"/>
      <c r="P35" s="16" t="e">
        <f t="array" aca="1" ref="P35" ca="1">_xludf.IFS(O35="","※ 담당자별로 위험 해당 여부를 선택하여 주세요.",O35="합의 필요","※ 담당자 간 위험 해당 여부를 합의하여, O열에 그 결과를 선택하세요.",TRUE,"")</f>
        <v>#NAME?</v>
      </c>
    </row>
    <row r="36" spans="1:16" ht="30" customHeight="1">
      <c r="A36" s="2"/>
      <c r="B36" s="12">
        <v>31</v>
      </c>
      <c r="C36" s="13" t="s">
        <v>227</v>
      </c>
      <c r="D36" s="13" t="s">
        <v>239</v>
      </c>
      <c r="E36" s="13" t="s">
        <v>241</v>
      </c>
      <c r="F36" s="14"/>
      <c r="G36" s="15"/>
      <c r="H36" s="16" t="e">
        <f t="array" aca="1" ref="H36" ca="1">_xludf.IFS(NOT(OR(F36="Yes",F36="No")),"※ 위험 해당 여부를 선택하세요",AND(F36="yes",G36=""),"※ 상세 위험 내용을 기입하세요",AND(F36="no",G36=""),"※ 위험 미해당 사유를 기입하세요",TRUE,"")</f>
        <v>#NAME?</v>
      </c>
      <c r="I36" s="2"/>
      <c r="J36" s="13" t="s">
        <v>217</v>
      </c>
      <c r="K36" s="17"/>
      <c r="L36" s="17"/>
      <c r="M36" s="16"/>
      <c r="N36" s="2"/>
      <c r="O36" s="17"/>
      <c r="P36" s="16" t="e">
        <f t="array" aca="1" ref="P36" ca="1">_xludf.IFS(O36="","※ 담당자별로 위험 해당 여부를 선택하여 주세요.",O36="합의 필요","※ 담당자 간 위험 해당 여부를 합의하여, O열에 그 결과를 선택하세요.",TRUE,"")</f>
        <v>#NAME?</v>
      </c>
    </row>
    <row r="37" spans="1:16" ht="30" customHeight="1">
      <c r="A37" s="2"/>
      <c r="B37" s="12">
        <v>32</v>
      </c>
      <c r="C37" s="13" t="s">
        <v>227</v>
      </c>
      <c r="D37" s="13" t="s">
        <v>239</v>
      </c>
      <c r="E37" s="13" t="s">
        <v>242</v>
      </c>
      <c r="F37" s="14"/>
      <c r="G37" s="15"/>
      <c r="H37" s="16" t="e">
        <f t="array" aca="1" ref="H37" ca="1">_xludf.IFS(NOT(OR(F37="Yes",F37="No")),"※ 위험 해당 여부를 선택하세요",AND(F37="yes",G37=""),"※ 상세 위험 내용을 기입하세요",AND(F37="no",G37=""),"※ 위험 미해당 사유를 기입하세요",TRUE,"")</f>
        <v>#NAME?</v>
      </c>
      <c r="I37" s="2"/>
      <c r="J37" s="13" t="s">
        <v>211</v>
      </c>
      <c r="K37" s="17"/>
      <c r="L37" s="17"/>
      <c r="M37" s="16"/>
      <c r="N37" s="2"/>
      <c r="O37" s="17"/>
      <c r="P37" s="16" t="e">
        <f t="array" aca="1" ref="P37" ca="1">_xludf.IFS(O37="","※ 담당자별로 위험 해당 여부를 선택하여 주세요.",O37="합의 필요","※ 담당자 간 위험 해당 여부를 합의하여, O열에 그 결과를 선택하세요.",TRUE,"")</f>
        <v>#NAME?</v>
      </c>
    </row>
    <row r="38" spans="1:16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7.25" customHeight="1"/>
    <row r="40" spans="1:16" ht="17.25" customHeight="1">
      <c r="F40" s="1">
        <f>COUNTA(E6:E37)-COUNTA(F6:F37)</f>
        <v>32</v>
      </c>
      <c r="O40" s="1">
        <f>COUNTA(E6:E37)-COUNTA(O6:O37)</f>
        <v>32</v>
      </c>
    </row>
    <row r="41" spans="1:16" ht="17.25" customHeight="1"/>
    <row r="42" spans="1:16" ht="17.25" customHeight="1"/>
    <row r="43" spans="1:16" ht="17.25" customHeight="1"/>
    <row r="44" spans="1:16" ht="17.25" customHeight="1"/>
    <row r="45" spans="1:16" ht="17.25" customHeight="1"/>
    <row r="46" spans="1:16" ht="17.25" customHeight="1"/>
    <row r="47" spans="1:16" ht="17.25" customHeight="1"/>
    <row r="48" spans="1:16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8">
    <mergeCell ref="B2:E2"/>
    <mergeCell ref="F2:H2"/>
    <mergeCell ref="J2:M2"/>
    <mergeCell ref="O2:P2"/>
    <mergeCell ref="B3:E3"/>
    <mergeCell ref="F3:H3"/>
    <mergeCell ref="J3:M3"/>
    <mergeCell ref="O3:P3"/>
  </mergeCells>
  <phoneticPr fontId="10" type="noConversion"/>
  <conditionalFormatting sqref="O6:O37">
    <cfRule type="expression" dxfId="9" priority="1">
      <formula>$O6="합의 필요"</formula>
    </cfRule>
  </conditionalFormatting>
  <dataValidations count="2">
    <dataValidation type="list" allowBlank="1" showErrorMessage="1" sqref="F6:F37 K6:L37" xr:uid="{00000000-0002-0000-0200-000000000000}">
      <formula1>"Yes,No"</formula1>
    </dataValidation>
    <dataValidation type="list" allowBlank="1" showErrorMessage="1" sqref="O6:O37" xr:uid="{00000000-0002-0000-0200-000001000000}">
      <formula1>"Yes,No,합의 필요"</formula1>
    </dataValidation>
  </dataValidations>
  <pageMargins left="0.7" right="0.7" top="0.75" bottom="0.75" header="0" footer="0"/>
  <pageSetup paperSize="9" scale="2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2.59765625" defaultRowHeight="15" customHeight="1"/>
  <cols>
    <col min="1" max="1" width="3.5" customWidth="1"/>
    <col min="2" max="2" width="5.19921875" customWidth="1"/>
    <col min="3" max="3" width="30.3984375" customWidth="1"/>
    <col min="4" max="4" width="33" customWidth="1"/>
    <col min="5" max="5" width="43.3984375" customWidth="1"/>
    <col min="6" max="6" width="24.09765625" customWidth="1"/>
    <col min="7" max="7" width="3.69921875" customWidth="1"/>
    <col min="8" max="8" width="19.8984375" customWidth="1"/>
    <col min="9" max="9" width="44.69921875" customWidth="1"/>
    <col min="10" max="10" width="18.5" customWidth="1"/>
    <col min="11" max="11" width="41.59765625" customWidth="1"/>
    <col min="12" max="12" width="3.69921875" customWidth="1"/>
    <col min="13" max="13" width="19.8984375" customWidth="1"/>
    <col min="14" max="14" width="22.19921875" customWidth="1"/>
    <col min="15" max="15" width="44.69921875" customWidth="1"/>
    <col min="16" max="16" width="3.19921875" customWidth="1"/>
    <col min="17" max="17" width="19.8984375" customWidth="1"/>
    <col min="18" max="18" width="21" customWidth="1"/>
    <col min="19" max="19" width="44.69921875" customWidth="1"/>
    <col min="20" max="26" width="8.59765625" customWidth="1"/>
  </cols>
  <sheetData>
    <row r="1" spans="1:26" ht="17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customHeight="1">
      <c r="A2" s="3"/>
      <c r="B2" s="55" t="s">
        <v>243</v>
      </c>
      <c r="C2" s="56"/>
      <c r="D2" s="56"/>
      <c r="E2" s="56"/>
      <c r="F2" s="57"/>
      <c r="G2" s="3"/>
      <c r="H2" s="55" t="s">
        <v>191</v>
      </c>
      <c r="I2" s="56"/>
      <c r="J2" s="56"/>
      <c r="K2" s="58"/>
      <c r="L2" s="3"/>
      <c r="M2" s="55" t="s">
        <v>244</v>
      </c>
      <c r="N2" s="56"/>
      <c r="O2" s="58"/>
      <c r="P2" s="3"/>
      <c r="Q2" s="55" t="s">
        <v>245</v>
      </c>
      <c r="R2" s="56"/>
      <c r="S2" s="58"/>
      <c r="T2" s="4"/>
      <c r="U2" s="4"/>
      <c r="V2" s="4"/>
      <c r="W2" s="4"/>
      <c r="X2" s="4"/>
      <c r="Y2" s="4"/>
      <c r="Z2" s="4"/>
    </row>
    <row r="3" spans="1:26" ht="166.5" customHeight="1">
      <c r="A3" s="2"/>
      <c r="B3" s="60" t="s">
        <v>246</v>
      </c>
      <c r="C3" s="56"/>
      <c r="D3" s="56"/>
      <c r="E3" s="56"/>
      <c r="F3" s="58"/>
      <c r="G3" s="2"/>
      <c r="H3" s="59" t="s">
        <v>247</v>
      </c>
      <c r="I3" s="56"/>
      <c r="J3" s="56"/>
      <c r="K3" s="58"/>
      <c r="L3" s="2"/>
      <c r="M3" s="59" t="s">
        <v>248</v>
      </c>
      <c r="N3" s="56"/>
      <c r="O3" s="58"/>
      <c r="P3" s="2"/>
      <c r="Q3" s="59" t="s">
        <v>249</v>
      </c>
      <c r="R3" s="56"/>
      <c r="S3" s="58"/>
    </row>
    <row r="4" spans="1:26" ht="10.5" customHeight="1">
      <c r="A4" s="2"/>
      <c r="B4" s="2" t="s">
        <v>198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6" ht="17.25" customHeight="1">
      <c r="A5" s="5"/>
      <c r="B5" s="6" t="s">
        <v>199</v>
      </c>
      <c r="C5" s="6" t="s">
        <v>200</v>
      </c>
      <c r="D5" s="6" t="s">
        <v>201</v>
      </c>
      <c r="E5" s="7" t="s">
        <v>202</v>
      </c>
      <c r="F5" s="6" t="s">
        <v>250</v>
      </c>
      <c r="G5" s="5"/>
      <c r="H5" s="8" t="s">
        <v>251</v>
      </c>
      <c r="I5" s="8" t="s">
        <v>252</v>
      </c>
      <c r="J5" s="9" t="s">
        <v>253</v>
      </c>
      <c r="K5" s="9" t="s">
        <v>205</v>
      </c>
      <c r="L5" s="5"/>
      <c r="M5" s="18" t="s">
        <v>254</v>
      </c>
      <c r="N5" s="18" t="s">
        <v>255</v>
      </c>
      <c r="O5" s="18" t="s">
        <v>208</v>
      </c>
      <c r="P5" s="5"/>
      <c r="Q5" s="10" t="s">
        <v>206</v>
      </c>
      <c r="R5" s="10" t="s">
        <v>255</v>
      </c>
      <c r="S5" s="10" t="s">
        <v>208</v>
      </c>
      <c r="T5" s="11"/>
      <c r="U5" s="11"/>
      <c r="V5" s="11"/>
      <c r="W5" s="11"/>
      <c r="X5" s="11"/>
      <c r="Y5" s="11"/>
      <c r="Z5" s="11"/>
    </row>
    <row r="6" spans="1:26" ht="30" customHeight="1">
      <c r="A6" s="2"/>
      <c r="B6" s="12">
        <v>1</v>
      </c>
      <c r="C6" s="13" t="s">
        <v>209</v>
      </c>
      <c r="D6" s="13" t="s">
        <v>210</v>
      </c>
      <c r="E6" s="13" t="s">
        <v>4</v>
      </c>
      <c r="F6" s="17" t="e">
        <f t="array" aca="1" ref="F6" ca="1">_xludf.XLOOKUP('2. AI위험 완화 방안 수립'!E6,'1. AI위험 식별'!$E$6:$E$37,'1. AI위험 식별'!$O$6:$O$37,"")</f>
        <v>#NAME?</v>
      </c>
      <c r="G6" s="2"/>
      <c r="H6" s="14" t="e">
        <f t="array" aca="1" ref="H6" ca="1">IF(_xludf.XLOOKUP(E6,'1. AI위험 식별'!$E$6:$E$37,'1. AI위험 식별'!$O$6:$O$37,"")="No","N/A","")</f>
        <v>#NAME?</v>
      </c>
      <c r="I6" s="19"/>
      <c r="J6" s="15"/>
      <c r="K6" s="16" t="e">
        <f t="array" aca="1" ref="K6" ca="1">_xludf.IFS(OR(H6="No",H6="N/A"),"",H6&lt;&gt;"Yes","※ 완화 방안 여부를 선택하세요",I6="","※ 상세 완화 방안을 기입하세요",J6="","※ 담당부서 및 수행주체를 입력하세요",TRUE,"")</f>
        <v>#NAME?</v>
      </c>
      <c r="L6" s="2"/>
      <c r="M6" s="13"/>
      <c r="N6" s="13" t="e">
        <f ca="1">IF($H6="N/A","N/A","")</f>
        <v>#NAME?</v>
      </c>
      <c r="O6" s="16"/>
      <c r="P6" s="2"/>
      <c r="Q6" s="13" t="s">
        <v>211</v>
      </c>
      <c r="R6" s="13" t="e">
        <f t="shared" ref="R6:R37" ca="1" si="0">IF($H6="N/A","N/A","")</f>
        <v>#NAME?</v>
      </c>
      <c r="S6" s="16"/>
    </row>
    <row r="7" spans="1:26" ht="30" customHeight="1">
      <c r="A7" s="2"/>
      <c r="B7" s="12">
        <v>2</v>
      </c>
      <c r="C7" s="13" t="s">
        <v>209</v>
      </c>
      <c r="D7" s="13" t="s">
        <v>210</v>
      </c>
      <c r="E7" s="13" t="s">
        <v>12</v>
      </c>
      <c r="F7" s="17" t="e">
        <f t="array" aca="1" ref="F7" ca="1">_xludf.XLOOKUP('2. AI위험 완화 방안 수립'!E7,'1. AI위험 식별'!$E$6:$E$37,'1. AI위험 식별'!$O$6:$O$37,"")</f>
        <v>#NAME?</v>
      </c>
      <c r="G7" s="2"/>
      <c r="H7" s="14" t="e">
        <f t="array" aca="1" ref="H7" ca="1">IF(_xludf.XLOOKUP(E7,'1. AI위험 식별'!$E$6:$E$37,'1. AI위험 식별'!$O$6:$O$37,"")="No","N/A","")</f>
        <v>#NAME?</v>
      </c>
      <c r="I7" s="19"/>
      <c r="J7" s="15"/>
      <c r="K7" s="16" t="e">
        <f t="array" aca="1" ref="K7" ca="1">_xludf.IFS(OR(H7="No",H7="N/A"),"",H7&lt;&gt;"Yes","※ 완화 방안 여부를 선택하세요",I7="","※ 상세 완화 방안을 기입하세요",J7="","※ 담당부서 및 수행주체를 입력하세요",TRUE,"")</f>
        <v>#NAME?</v>
      </c>
      <c r="L7" s="2"/>
      <c r="M7" s="13"/>
      <c r="N7" s="13" t="e">
        <f t="shared" ref="N7:N37" ca="1" si="1">IF(H7="N/A","N/A","")</f>
        <v>#NAME?</v>
      </c>
      <c r="O7" s="16"/>
      <c r="P7" s="2"/>
      <c r="Q7" s="13" t="s">
        <v>211</v>
      </c>
      <c r="R7" s="13" t="e">
        <f t="shared" ca="1" si="0"/>
        <v>#NAME?</v>
      </c>
      <c r="S7" s="16"/>
    </row>
    <row r="8" spans="1:26" ht="30" customHeight="1">
      <c r="A8" s="2"/>
      <c r="B8" s="12">
        <v>3</v>
      </c>
      <c r="C8" s="13" t="s">
        <v>209</v>
      </c>
      <c r="D8" s="13" t="s">
        <v>212</v>
      </c>
      <c r="E8" s="13" t="s">
        <v>23</v>
      </c>
      <c r="F8" s="17" t="e">
        <f t="array" aca="1" ref="F8" ca="1">_xludf.XLOOKUP('2. AI위험 완화 방안 수립'!E8,'1. AI위험 식별'!$E$6:$E$37,'1. AI위험 식별'!$O$6:$O$37,"")</f>
        <v>#NAME?</v>
      </c>
      <c r="G8" s="2"/>
      <c r="H8" s="14" t="e">
        <f t="array" aca="1" ref="H8" ca="1">IF(_xludf.XLOOKUP(E8,'1. AI위험 식별'!$E$6:$E$37,'1. AI위험 식별'!$O$6:$O$37,"")="No","N/A","")</f>
        <v>#NAME?</v>
      </c>
      <c r="I8" s="19"/>
      <c r="J8" s="15"/>
      <c r="K8" s="16" t="e">
        <f t="array" aca="1" ref="K8" ca="1">_xludf.IFS(OR(H8="No",H8="N/A"),"",H8&lt;&gt;"Yes","※ 완화 방안 여부를 선택하세요",I8="","※ 상세 완화 방안을 기입하세요",J8="","※ 담당부서 및 수행주체를 입력하세요",TRUE,"")</f>
        <v>#NAME?</v>
      </c>
      <c r="L8" s="2"/>
      <c r="M8" s="13"/>
      <c r="N8" s="13" t="e">
        <f t="shared" ca="1" si="1"/>
        <v>#NAME?</v>
      </c>
      <c r="O8" s="16"/>
      <c r="P8" s="2"/>
      <c r="Q8" s="13" t="s">
        <v>211</v>
      </c>
      <c r="R8" s="13" t="e">
        <f t="shared" ca="1" si="0"/>
        <v>#NAME?</v>
      </c>
      <c r="S8" s="16"/>
    </row>
    <row r="9" spans="1:26" ht="30" customHeight="1">
      <c r="A9" s="2"/>
      <c r="B9" s="12">
        <v>4</v>
      </c>
      <c r="C9" s="13" t="s">
        <v>209</v>
      </c>
      <c r="D9" s="13" t="s">
        <v>213</v>
      </c>
      <c r="E9" s="13" t="s">
        <v>44</v>
      </c>
      <c r="F9" s="17" t="e">
        <f t="array" aca="1" ref="F9" ca="1">_xludf.XLOOKUP('2. AI위험 완화 방안 수립'!E9,'1. AI위험 식별'!$E$6:$E$37,'1. AI위험 식별'!$O$6:$O$37,"")</f>
        <v>#NAME?</v>
      </c>
      <c r="G9" s="2"/>
      <c r="H9" s="14" t="e">
        <f t="array" aca="1" ref="H9" ca="1">IF(_xludf.XLOOKUP(E9,'1. AI위험 식별'!$E$6:$E$37,'1. AI위험 식별'!$O$6:$O$37,"")="No","N/A","")</f>
        <v>#NAME?</v>
      </c>
      <c r="I9" s="19"/>
      <c r="J9" s="15"/>
      <c r="K9" s="16" t="e">
        <f t="array" aca="1" ref="K9" ca="1">_xludf.IFS(OR(H9="No",H9="N/A"),"",H9&lt;&gt;"Yes","※ 완화 방안 여부를 선택하세요",I9="","※ 상세 완화 방안을 기입하세요",J9="","※ 담당부서 및 수행주체를 입력하세요",TRUE,"")</f>
        <v>#NAME?</v>
      </c>
      <c r="L9" s="2"/>
      <c r="M9" s="13"/>
      <c r="N9" s="13" t="e">
        <f t="shared" ca="1" si="1"/>
        <v>#NAME?</v>
      </c>
      <c r="O9" s="16"/>
      <c r="P9" s="2"/>
      <c r="Q9" s="13" t="s">
        <v>211</v>
      </c>
      <c r="R9" s="13" t="e">
        <f t="shared" ca="1" si="0"/>
        <v>#NAME?</v>
      </c>
      <c r="S9" s="16"/>
    </row>
    <row r="10" spans="1:26" ht="30" customHeight="1">
      <c r="A10" s="2"/>
      <c r="B10" s="12">
        <v>5</v>
      </c>
      <c r="C10" s="13" t="s">
        <v>209</v>
      </c>
      <c r="D10" s="13" t="s">
        <v>213</v>
      </c>
      <c r="E10" s="13" t="s">
        <v>47</v>
      </c>
      <c r="F10" s="17" t="e">
        <f t="array" aca="1" ref="F10" ca="1">_xludf.XLOOKUP('2. AI위험 완화 방안 수립'!E10,'1. AI위험 식별'!$E$6:$E$37,'1. AI위험 식별'!$O$6:$O$37,"")</f>
        <v>#NAME?</v>
      </c>
      <c r="G10" s="2"/>
      <c r="H10" s="14" t="e">
        <f t="array" aca="1" ref="H10" ca="1">IF(_xludf.XLOOKUP(E10,'1. AI위험 식별'!$E$6:$E$37,'1. AI위험 식별'!$O$6:$O$37,"")="No","N/A","")</f>
        <v>#NAME?</v>
      </c>
      <c r="I10" s="19"/>
      <c r="J10" s="15"/>
      <c r="K10" s="16" t="e">
        <f t="array" aca="1" ref="K10" ca="1">_xludf.IFS(OR(H10="No",H10="N/A"),"",H10&lt;&gt;"Yes","※ 완화 방안 여부를 선택하세요",I10="","※ 상세 완화 방안을 기입하세요",J10="","※ 담당부서 및 수행주체를 입력하세요",TRUE,"")</f>
        <v>#NAME?</v>
      </c>
      <c r="L10" s="2"/>
      <c r="M10" s="13"/>
      <c r="N10" s="13" t="e">
        <f t="shared" ca="1" si="1"/>
        <v>#NAME?</v>
      </c>
      <c r="O10" s="16"/>
      <c r="P10" s="2"/>
      <c r="Q10" s="13" t="s">
        <v>211</v>
      </c>
      <c r="R10" s="13" t="e">
        <f t="shared" ca="1" si="0"/>
        <v>#NAME?</v>
      </c>
      <c r="S10" s="16"/>
    </row>
    <row r="11" spans="1:26" ht="30" customHeight="1">
      <c r="A11" s="2"/>
      <c r="B11" s="12">
        <v>6</v>
      </c>
      <c r="C11" s="13" t="s">
        <v>209</v>
      </c>
      <c r="D11" s="13" t="s">
        <v>214</v>
      </c>
      <c r="E11" s="13" t="s">
        <v>54</v>
      </c>
      <c r="F11" s="17" t="e">
        <f t="array" aca="1" ref="F11" ca="1">_xludf.XLOOKUP('2. AI위험 완화 방안 수립'!E11,'1. AI위험 식별'!$E$6:$E$37,'1. AI위험 식별'!$O$6:$O$37,"")</f>
        <v>#NAME?</v>
      </c>
      <c r="G11" s="2"/>
      <c r="H11" s="14" t="e">
        <f t="array" aca="1" ref="H11" ca="1">IF(_xludf.XLOOKUP(E11,'1. AI위험 식별'!$E$6:$E$37,'1. AI위험 식별'!$O$6:$O$37,"")="No","N/A","")</f>
        <v>#NAME?</v>
      </c>
      <c r="I11" s="19"/>
      <c r="J11" s="15"/>
      <c r="K11" s="16" t="e">
        <f t="array" aca="1" ref="K11" ca="1">_xludf.IFS(OR(H11="No",H11="N/A"),"",H11&lt;&gt;"Yes","※ 완화 방안 여부를 선택하세요",I11="","※ 상세 완화 방안을 기입하세요",J11="","※ 담당부서 및 수행주체를 입력하세요",TRUE,"")</f>
        <v>#NAME?</v>
      </c>
      <c r="L11" s="2"/>
      <c r="M11" s="13"/>
      <c r="N11" s="13" t="e">
        <f t="shared" ca="1" si="1"/>
        <v>#NAME?</v>
      </c>
      <c r="O11" s="16"/>
      <c r="P11" s="2"/>
      <c r="Q11" s="13" t="s">
        <v>211</v>
      </c>
      <c r="R11" s="13" t="e">
        <f t="shared" ca="1" si="0"/>
        <v>#NAME?</v>
      </c>
      <c r="S11" s="16"/>
    </row>
    <row r="12" spans="1:26" ht="30" customHeight="1">
      <c r="A12" s="2"/>
      <c r="B12" s="12">
        <v>7</v>
      </c>
      <c r="C12" s="13" t="s">
        <v>215</v>
      </c>
      <c r="D12" s="13" t="s">
        <v>216</v>
      </c>
      <c r="E12" s="13" t="s">
        <v>91</v>
      </c>
      <c r="F12" s="17" t="e">
        <f t="array" aca="1" ref="F12" ca="1">_xludf.XLOOKUP('2. AI위험 완화 방안 수립'!E12,'1. AI위험 식별'!$E$6:$E$37,'1. AI위험 식별'!$O$6:$O$37,"")</f>
        <v>#NAME?</v>
      </c>
      <c r="G12" s="2"/>
      <c r="H12" s="14" t="e">
        <f t="array" aca="1" ref="H12" ca="1">IF(_xludf.XLOOKUP(E12,'1. AI위험 식별'!$E$6:$E$37,'1. AI위험 식별'!$O$6:$O$37,"")="No","N/A","")</f>
        <v>#NAME?</v>
      </c>
      <c r="I12" s="19"/>
      <c r="J12" s="15"/>
      <c r="K12" s="16" t="e">
        <f t="array" aca="1" ref="K12" ca="1">_xludf.IFS(OR(H12="No",H12="N/A"),"",H12&lt;&gt;"Yes","※ 완화 방안 여부를 선택하세요",I12="","※ 상세 완화 방안을 기입하세요",J12="","※ 담당부서 및 수행주체를 입력하세요",TRUE,"")</f>
        <v>#NAME?</v>
      </c>
      <c r="L12" s="2"/>
      <c r="M12" s="13"/>
      <c r="N12" s="13" t="e">
        <f t="shared" ca="1" si="1"/>
        <v>#NAME?</v>
      </c>
      <c r="O12" s="16"/>
      <c r="P12" s="2"/>
      <c r="Q12" s="13" t="s">
        <v>217</v>
      </c>
      <c r="R12" s="13" t="e">
        <f t="shared" ca="1" si="0"/>
        <v>#NAME?</v>
      </c>
      <c r="S12" s="16"/>
    </row>
    <row r="13" spans="1:26" ht="30" customHeight="1">
      <c r="A13" s="2"/>
      <c r="B13" s="12">
        <v>8</v>
      </c>
      <c r="C13" s="13" t="s">
        <v>215</v>
      </c>
      <c r="D13" s="13" t="s">
        <v>216</v>
      </c>
      <c r="E13" s="13" t="s">
        <v>98</v>
      </c>
      <c r="F13" s="17" t="e">
        <f t="array" aca="1" ref="F13" ca="1">_xludf.XLOOKUP('2. AI위험 완화 방안 수립'!E13,'1. AI위험 식별'!$E$6:$E$37,'1. AI위험 식별'!$O$6:$O$37,"")</f>
        <v>#NAME?</v>
      </c>
      <c r="G13" s="2"/>
      <c r="H13" s="14" t="e">
        <f t="array" aca="1" ref="H13" ca="1">IF(_xludf.XLOOKUP(E13,'1. AI위험 식별'!$E$6:$E$37,'1. AI위험 식별'!$O$6:$O$37,"")="No","N/A","")</f>
        <v>#NAME?</v>
      </c>
      <c r="I13" s="19"/>
      <c r="J13" s="15"/>
      <c r="K13" s="16" t="e">
        <f t="array" aca="1" ref="K13" ca="1">_xludf.IFS(OR(H13="No",H13="N/A"),"",H13&lt;&gt;"Yes","※ 완화 방안 여부를 선택하세요",I13="","※ 상세 완화 방안을 기입하세요",J13="","※ 담당부서 및 수행주체를 입력하세요",TRUE,"")</f>
        <v>#NAME?</v>
      </c>
      <c r="L13" s="2"/>
      <c r="M13" s="13"/>
      <c r="N13" s="13" t="e">
        <f t="shared" ca="1" si="1"/>
        <v>#NAME?</v>
      </c>
      <c r="O13" s="16"/>
      <c r="P13" s="2"/>
      <c r="Q13" s="13" t="s">
        <v>217</v>
      </c>
      <c r="R13" s="13" t="e">
        <f t="shared" ca="1" si="0"/>
        <v>#NAME?</v>
      </c>
      <c r="S13" s="16"/>
    </row>
    <row r="14" spans="1:26" ht="30" customHeight="1">
      <c r="A14" s="2"/>
      <c r="B14" s="12">
        <v>9</v>
      </c>
      <c r="C14" s="13" t="s">
        <v>215</v>
      </c>
      <c r="D14" s="13" t="s">
        <v>216</v>
      </c>
      <c r="E14" s="13" t="s">
        <v>63</v>
      </c>
      <c r="F14" s="17" t="e">
        <f t="array" aca="1" ref="F14" ca="1">_xludf.XLOOKUP('2. AI위험 완화 방안 수립'!E14,'1. AI위험 식별'!$E$6:$E$37,'1. AI위험 식별'!$O$6:$O$37,"")</f>
        <v>#NAME?</v>
      </c>
      <c r="G14" s="2"/>
      <c r="H14" s="14" t="e">
        <f t="array" aca="1" ref="H14" ca="1">IF(_xludf.XLOOKUP(E14,'1. AI위험 식별'!$E$6:$E$37,'1. AI위험 식별'!$O$6:$O$37,"")="No","N/A","")</f>
        <v>#NAME?</v>
      </c>
      <c r="I14" s="19"/>
      <c r="J14" s="15"/>
      <c r="K14" s="16" t="e">
        <f t="array" aca="1" ref="K14" ca="1">_xludf.IFS(OR(H14="No",H14="N/A"),"",H14&lt;&gt;"Yes","※ 완화 방안 여부를 선택하세요",I14="","※ 상세 완화 방안을 기입하세요",J14="","※ 담당부서 및 수행주체를 입력하세요",TRUE,"")</f>
        <v>#NAME?</v>
      </c>
      <c r="L14" s="2"/>
      <c r="M14" s="13"/>
      <c r="N14" s="13" t="e">
        <f t="shared" ca="1" si="1"/>
        <v>#NAME?</v>
      </c>
      <c r="O14" s="16"/>
      <c r="P14" s="2"/>
      <c r="Q14" s="13" t="s">
        <v>217</v>
      </c>
      <c r="R14" s="13" t="e">
        <f t="shared" ca="1" si="0"/>
        <v>#NAME?</v>
      </c>
      <c r="S14" s="16"/>
    </row>
    <row r="15" spans="1:26" ht="30" customHeight="1">
      <c r="A15" s="2"/>
      <c r="B15" s="12">
        <v>10</v>
      </c>
      <c r="C15" s="13" t="s">
        <v>215</v>
      </c>
      <c r="D15" s="13" t="s">
        <v>218</v>
      </c>
      <c r="E15" s="13" t="s">
        <v>67</v>
      </c>
      <c r="F15" s="17" t="e">
        <f t="array" aca="1" ref="F15" ca="1">_xludf.XLOOKUP('2. AI위험 완화 방안 수립'!E15,'1. AI위험 식별'!$E$6:$E$37,'1. AI위험 식별'!$O$6:$O$37,"")</f>
        <v>#NAME?</v>
      </c>
      <c r="G15" s="2"/>
      <c r="H15" s="14" t="e">
        <f t="array" aca="1" ref="H15" ca="1">IF(_xludf.XLOOKUP(E15,'1. AI위험 식별'!$E$6:$E$37,'1. AI위험 식별'!$O$6:$O$37,"")="No","N/A","")</f>
        <v>#NAME?</v>
      </c>
      <c r="I15" s="19"/>
      <c r="J15" s="15"/>
      <c r="K15" s="16" t="e">
        <f t="array" aca="1" ref="K15" ca="1">_xludf.IFS(OR(H15="No",H15="N/A"),"",H15&lt;&gt;"Yes","※ 완화 방안 여부를 선택하세요",I15="","※ 상세 완화 방안을 기입하세요",J15="","※ 담당부서 및 수행주체를 입력하세요",TRUE,"")</f>
        <v>#NAME?</v>
      </c>
      <c r="L15" s="2"/>
      <c r="M15" s="13"/>
      <c r="N15" s="13" t="e">
        <f t="shared" ca="1" si="1"/>
        <v>#NAME?</v>
      </c>
      <c r="O15" s="16"/>
      <c r="P15" s="2"/>
      <c r="Q15" s="13" t="s">
        <v>217</v>
      </c>
      <c r="R15" s="13" t="e">
        <f t="shared" ca="1" si="0"/>
        <v>#NAME?</v>
      </c>
      <c r="S15" s="16"/>
    </row>
    <row r="16" spans="1:26" ht="30" customHeight="1">
      <c r="A16" s="2"/>
      <c r="B16" s="12">
        <v>11</v>
      </c>
      <c r="C16" s="13" t="s">
        <v>215</v>
      </c>
      <c r="D16" s="13" t="s">
        <v>219</v>
      </c>
      <c r="E16" s="13" t="s">
        <v>106</v>
      </c>
      <c r="F16" s="17" t="e">
        <f t="array" aca="1" ref="F16" ca="1">_xludf.XLOOKUP('2. AI위험 완화 방안 수립'!E16,'1. AI위험 식별'!$E$6:$E$37,'1. AI위험 식별'!$O$6:$O$37,"")</f>
        <v>#NAME?</v>
      </c>
      <c r="G16" s="2"/>
      <c r="H16" s="14" t="e">
        <f t="array" aca="1" ref="H16" ca="1">IF(_xludf.XLOOKUP(E16,'1. AI위험 식별'!$E$6:$E$37,'1. AI위험 식별'!$O$6:$O$37,"")="No","N/A","")</f>
        <v>#NAME?</v>
      </c>
      <c r="I16" s="19"/>
      <c r="J16" s="15"/>
      <c r="K16" s="16" t="e">
        <f t="array" aca="1" ref="K16" ca="1">_xludf.IFS(OR(H16="No",H16="N/A"),"",H16&lt;&gt;"Yes","※ 완화 방안 여부를 선택하세요",I16="","※ 상세 완화 방안을 기입하세요",J16="","※ 담당부서 및 수행주체를 입력하세요",TRUE,"")</f>
        <v>#NAME?</v>
      </c>
      <c r="L16" s="2"/>
      <c r="M16" s="13"/>
      <c r="N16" s="13" t="e">
        <f t="shared" ca="1" si="1"/>
        <v>#NAME?</v>
      </c>
      <c r="O16" s="16"/>
      <c r="P16" s="2"/>
      <c r="Q16" s="13" t="s">
        <v>217</v>
      </c>
      <c r="R16" s="13" t="e">
        <f t="shared" ca="1" si="0"/>
        <v>#NAME?</v>
      </c>
      <c r="S16" s="16"/>
    </row>
    <row r="17" spans="1:19" ht="30" customHeight="1">
      <c r="A17" s="2"/>
      <c r="B17" s="12">
        <v>12</v>
      </c>
      <c r="C17" s="13" t="s">
        <v>215</v>
      </c>
      <c r="D17" s="13" t="s">
        <v>220</v>
      </c>
      <c r="E17" s="13" t="s">
        <v>221</v>
      </c>
      <c r="F17" s="17" t="e">
        <f t="array" aca="1" ref="F17" ca="1">_xludf.XLOOKUP('2. AI위험 완화 방안 수립'!E17,'1. AI위험 식별'!$E$6:$E$37,'1. AI위험 식별'!$O$6:$O$37,"")</f>
        <v>#NAME?</v>
      </c>
      <c r="G17" s="2"/>
      <c r="H17" s="14" t="e">
        <f t="array" aca="1" ref="H17" ca="1">IF(_xludf.XLOOKUP(E17,'1. AI위험 식별'!$E$6:$E$37,'1. AI위험 식별'!$O$6:$O$37,"")="No","N/A","")</f>
        <v>#NAME?</v>
      </c>
      <c r="I17" s="19"/>
      <c r="J17" s="15"/>
      <c r="K17" s="16" t="e">
        <f t="array" aca="1" ref="K17" ca="1">_xludf.IFS(OR(H17="No",H17="N/A"),"",H17&lt;&gt;"Yes","※ 완화 방안 여부를 선택하세요",I17="","※ 상세 완화 방안을 기입하세요",J17="","※ 담당부서 및 수행주체를 입력하세요",TRUE,"")</f>
        <v>#NAME?</v>
      </c>
      <c r="L17" s="2"/>
      <c r="M17" s="13"/>
      <c r="N17" s="13" t="e">
        <f t="shared" ca="1" si="1"/>
        <v>#NAME?</v>
      </c>
      <c r="O17" s="16"/>
      <c r="P17" s="2"/>
      <c r="Q17" s="13" t="s">
        <v>211</v>
      </c>
      <c r="R17" s="13" t="e">
        <f t="shared" ca="1" si="0"/>
        <v>#NAME?</v>
      </c>
      <c r="S17" s="16"/>
    </row>
    <row r="18" spans="1:19" ht="30" customHeight="1">
      <c r="A18" s="2"/>
      <c r="B18" s="12">
        <v>13</v>
      </c>
      <c r="C18" s="13" t="s">
        <v>215</v>
      </c>
      <c r="D18" s="13" t="s">
        <v>222</v>
      </c>
      <c r="E18" s="13" t="s">
        <v>122</v>
      </c>
      <c r="F18" s="17" t="e">
        <f t="array" aca="1" ref="F18" ca="1">_xludf.XLOOKUP('2. AI위험 완화 방안 수립'!E18,'1. AI위험 식별'!$E$6:$E$37,'1. AI위험 식별'!$O$6:$O$37,"")</f>
        <v>#NAME?</v>
      </c>
      <c r="G18" s="2"/>
      <c r="H18" s="14" t="e">
        <f t="array" aca="1" ref="H18" ca="1">IF(_xludf.XLOOKUP(E18,'1. AI위험 식별'!$E$6:$E$37,'1. AI위험 식별'!$O$6:$O$37,"")="No","N/A","")</f>
        <v>#NAME?</v>
      </c>
      <c r="I18" s="19"/>
      <c r="J18" s="15"/>
      <c r="K18" s="16" t="e">
        <f t="array" aca="1" ref="K18" ca="1">_xludf.IFS(OR(H18="No",H18="N/A"),"",H18&lt;&gt;"Yes","※ 완화 방안 여부를 선택하세요",I18="","※ 상세 완화 방안을 기입하세요",J18="","※ 담당부서 및 수행주체를 입력하세요",TRUE,"")</f>
        <v>#NAME?</v>
      </c>
      <c r="L18" s="2"/>
      <c r="M18" s="13"/>
      <c r="N18" s="13" t="e">
        <f t="shared" ca="1" si="1"/>
        <v>#NAME?</v>
      </c>
      <c r="O18" s="16"/>
      <c r="P18" s="2"/>
      <c r="Q18" s="13" t="s">
        <v>217</v>
      </c>
      <c r="R18" s="13" t="e">
        <f t="shared" ca="1" si="0"/>
        <v>#NAME?</v>
      </c>
      <c r="S18" s="16"/>
    </row>
    <row r="19" spans="1:19" ht="30" customHeight="1">
      <c r="A19" s="2"/>
      <c r="B19" s="12">
        <v>14</v>
      </c>
      <c r="C19" s="13" t="s">
        <v>215</v>
      </c>
      <c r="D19" s="13" t="s">
        <v>222</v>
      </c>
      <c r="E19" s="13" t="s">
        <v>131</v>
      </c>
      <c r="F19" s="17" t="e">
        <f t="array" aca="1" ref="F19" ca="1">_xludf.XLOOKUP('2. AI위험 완화 방안 수립'!E19,'1. AI위험 식별'!$E$6:$E$37,'1. AI위험 식별'!$O$6:$O$37,"")</f>
        <v>#NAME?</v>
      </c>
      <c r="G19" s="2"/>
      <c r="H19" s="14" t="e">
        <f t="array" aca="1" ref="H19" ca="1">IF(_xludf.XLOOKUP(E19,'1. AI위험 식별'!$E$6:$E$37,'1. AI위험 식별'!$O$6:$O$37,"")="No","N/A","")</f>
        <v>#NAME?</v>
      </c>
      <c r="I19" s="19"/>
      <c r="J19" s="15"/>
      <c r="K19" s="16" t="e">
        <f t="array" aca="1" ref="K19" ca="1">_xludf.IFS(OR(H19="No",H19="N/A"),"",H19&lt;&gt;"Yes","※ 완화 방안 여부를 선택하세요",I19="","※ 상세 완화 방안을 기입하세요",J19="","※ 담당부서 및 수행주체를 입력하세요",TRUE,"")</f>
        <v>#NAME?</v>
      </c>
      <c r="L19" s="2"/>
      <c r="M19" s="13"/>
      <c r="N19" s="13" t="e">
        <f t="shared" ca="1" si="1"/>
        <v>#NAME?</v>
      </c>
      <c r="O19" s="16"/>
      <c r="P19" s="2"/>
      <c r="Q19" s="13" t="s">
        <v>217</v>
      </c>
      <c r="R19" s="13" t="e">
        <f t="shared" ca="1" si="0"/>
        <v>#NAME?</v>
      </c>
      <c r="S19" s="16"/>
    </row>
    <row r="20" spans="1:19" ht="30" customHeight="1">
      <c r="A20" s="2"/>
      <c r="B20" s="12">
        <v>15</v>
      </c>
      <c r="C20" s="13" t="s">
        <v>215</v>
      </c>
      <c r="D20" s="13" t="s">
        <v>222</v>
      </c>
      <c r="E20" s="13" t="s">
        <v>141</v>
      </c>
      <c r="F20" s="17" t="e">
        <f t="array" aca="1" ref="F20" ca="1">_xludf.XLOOKUP('2. AI위험 완화 방안 수립'!E20,'1. AI위험 식별'!$E$6:$E$37,'1. AI위험 식별'!$O$6:$O$37,"")</f>
        <v>#NAME?</v>
      </c>
      <c r="G20" s="2"/>
      <c r="H20" s="14" t="e">
        <f t="array" aca="1" ref="H20" ca="1">IF(_xludf.XLOOKUP(E20,'1. AI위험 식별'!$E$6:$E$37,'1. AI위험 식별'!$O$6:$O$37,"")="No","N/A","")</f>
        <v>#NAME?</v>
      </c>
      <c r="I20" s="19"/>
      <c r="J20" s="15"/>
      <c r="K20" s="16" t="e">
        <f t="array" aca="1" ref="K20" ca="1">_xludf.IFS(OR(H20="No",H20="N/A"),"",H20&lt;&gt;"Yes","※ 완화 방안 여부를 선택하세요",I20="","※ 상세 완화 방안을 기입하세요",J20="","※ 담당부서 및 수행주체를 입력하세요",TRUE,"")</f>
        <v>#NAME?</v>
      </c>
      <c r="L20" s="2"/>
      <c r="M20" s="13"/>
      <c r="N20" s="13" t="e">
        <f t="shared" ca="1" si="1"/>
        <v>#NAME?</v>
      </c>
      <c r="O20" s="16"/>
      <c r="P20" s="2"/>
      <c r="Q20" s="13" t="s">
        <v>217</v>
      </c>
      <c r="R20" s="13" t="e">
        <f t="shared" ca="1" si="0"/>
        <v>#NAME?</v>
      </c>
      <c r="S20" s="16"/>
    </row>
    <row r="21" spans="1:19" ht="30" customHeight="1">
      <c r="A21" s="2"/>
      <c r="B21" s="12">
        <v>16</v>
      </c>
      <c r="C21" s="13" t="s">
        <v>215</v>
      </c>
      <c r="D21" s="13" t="s">
        <v>222</v>
      </c>
      <c r="E21" s="13" t="s">
        <v>151</v>
      </c>
      <c r="F21" s="17" t="e">
        <f t="array" aca="1" ref="F21" ca="1">_xludf.XLOOKUP('2. AI위험 완화 방안 수립'!E21,'1. AI위험 식별'!$E$6:$E$37,'1. AI위험 식별'!$O$6:$O$37,"")</f>
        <v>#NAME?</v>
      </c>
      <c r="G21" s="2"/>
      <c r="H21" s="14" t="e">
        <f t="array" aca="1" ref="H21" ca="1">IF(_xludf.XLOOKUP(E21,'1. AI위험 식별'!$E$6:$E$37,'1. AI위험 식별'!$O$6:$O$37,"")="No","N/A","")</f>
        <v>#NAME?</v>
      </c>
      <c r="I21" s="19"/>
      <c r="J21" s="15"/>
      <c r="K21" s="16" t="e">
        <f t="array" aca="1" ref="K21" ca="1">_xludf.IFS(OR(H21="No",H21="N/A"),"",H21&lt;&gt;"Yes","※ 완화 방안 여부를 선택하세요",I21="","※ 상세 완화 방안을 기입하세요",J21="","※ 담당부서 및 수행주체를 입력하세요",TRUE,"")</f>
        <v>#NAME?</v>
      </c>
      <c r="L21" s="2"/>
      <c r="M21" s="13"/>
      <c r="N21" s="13" t="e">
        <f t="shared" ca="1" si="1"/>
        <v>#NAME?</v>
      </c>
      <c r="O21" s="16"/>
      <c r="P21" s="2"/>
      <c r="Q21" s="13" t="s">
        <v>211</v>
      </c>
      <c r="R21" s="13" t="e">
        <f t="shared" ca="1" si="0"/>
        <v>#NAME?</v>
      </c>
      <c r="S21" s="16"/>
    </row>
    <row r="22" spans="1:19" ht="30" customHeight="1">
      <c r="A22" s="2"/>
      <c r="B22" s="12">
        <v>17</v>
      </c>
      <c r="C22" s="13" t="s">
        <v>215</v>
      </c>
      <c r="D22" s="13" t="s">
        <v>222</v>
      </c>
      <c r="E22" s="13" t="s">
        <v>161</v>
      </c>
      <c r="F22" s="17" t="e">
        <f t="array" aca="1" ref="F22" ca="1">_xludf.XLOOKUP('2. AI위험 완화 방안 수립'!E22,'1. AI위험 식별'!$E$6:$E$37,'1. AI위험 식별'!$O$6:$O$37,"")</f>
        <v>#NAME?</v>
      </c>
      <c r="G22" s="2"/>
      <c r="H22" s="14" t="e">
        <f t="array" aca="1" ref="H22" ca="1">IF(_xludf.XLOOKUP(E22,'1. AI위험 식별'!$E$6:$E$37,'1. AI위험 식별'!$O$6:$O$37,"")="No","N/A","")</f>
        <v>#NAME?</v>
      </c>
      <c r="I22" s="19"/>
      <c r="J22" s="15"/>
      <c r="K22" s="16" t="e">
        <f t="array" aca="1" ref="K22" ca="1">_xludf.IFS(OR(H22="No",H22="N/A"),"",H22&lt;&gt;"Yes","※ 완화 방안 여부를 선택하세요",I22="","※ 상세 완화 방안을 기입하세요",J22="","※ 담당부서 및 수행주체를 입력하세요",TRUE,"")</f>
        <v>#NAME?</v>
      </c>
      <c r="L22" s="2"/>
      <c r="M22" s="13"/>
      <c r="N22" s="13" t="e">
        <f t="shared" ca="1" si="1"/>
        <v>#NAME?</v>
      </c>
      <c r="O22" s="16"/>
      <c r="P22" s="2"/>
      <c r="Q22" s="13" t="s">
        <v>211</v>
      </c>
      <c r="R22" s="13" t="e">
        <f t="shared" ca="1" si="0"/>
        <v>#NAME?</v>
      </c>
      <c r="S22" s="16"/>
    </row>
    <row r="23" spans="1:19" ht="30" customHeight="1">
      <c r="A23" s="2"/>
      <c r="B23" s="12">
        <v>18</v>
      </c>
      <c r="C23" s="13" t="s">
        <v>223</v>
      </c>
      <c r="D23" s="13" t="s">
        <v>224</v>
      </c>
      <c r="E23" s="13" t="s">
        <v>170</v>
      </c>
      <c r="F23" s="17" t="e">
        <f t="array" aca="1" ref="F23" ca="1">_xludf.XLOOKUP('2. AI위험 완화 방안 수립'!E23,'1. AI위험 식별'!$E$6:$E$37,'1. AI위험 식별'!$O$6:$O$37,"")</f>
        <v>#NAME?</v>
      </c>
      <c r="G23" s="2"/>
      <c r="H23" s="14" t="e">
        <f t="array" aca="1" ref="H23" ca="1">IF(_xludf.XLOOKUP(E23,'1. AI위험 식별'!$E$6:$E$37,'1. AI위험 식별'!$O$6:$O$37,"")="No","N/A","")</f>
        <v>#NAME?</v>
      </c>
      <c r="I23" s="19"/>
      <c r="J23" s="15"/>
      <c r="K23" s="16" t="e">
        <f t="array" aca="1" ref="K23" ca="1">_xludf.IFS(OR(H23="No",H23="N/A"),"",H23&lt;&gt;"Yes","※ 완화 방안 여부를 선택하세요",I23="","※ 상세 완화 방안을 기입하세요",J23="","※ 담당부서 및 수행주체를 입력하세요",TRUE,"")</f>
        <v>#NAME?</v>
      </c>
      <c r="L23" s="2"/>
      <c r="M23" s="13"/>
      <c r="N23" s="13" t="e">
        <f t="shared" ca="1" si="1"/>
        <v>#NAME?</v>
      </c>
      <c r="O23" s="16"/>
      <c r="P23" s="2"/>
      <c r="Q23" s="13" t="s">
        <v>211</v>
      </c>
      <c r="R23" s="13" t="e">
        <f t="shared" ca="1" si="0"/>
        <v>#NAME?</v>
      </c>
      <c r="S23" s="16"/>
    </row>
    <row r="24" spans="1:19" ht="30" customHeight="1">
      <c r="A24" s="2"/>
      <c r="B24" s="12">
        <v>19</v>
      </c>
      <c r="C24" s="13" t="s">
        <v>223</v>
      </c>
      <c r="D24" s="13" t="s">
        <v>225</v>
      </c>
      <c r="E24" s="13" t="s">
        <v>180</v>
      </c>
      <c r="F24" s="17" t="e">
        <f t="array" aca="1" ref="F24" ca="1">_xludf.XLOOKUP('2. AI위험 완화 방안 수립'!E24,'1. AI위험 식별'!$E$6:$E$37,'1. AI위험 식별'!$O$6:$O$37,"")</f>
        <v>#NAME?</v>
      </c>
      <c r="G24" s="2"/>
      <c r="H24" s="14" t="e">
        <f t="array" aca="1" ref="H24" ca="1">IF(_xludf.XLOOKUP(E24,'1. AI위험 식별'!$E$6:$E$37,'1. AI위험 식별'!$O$6:$O$37,"")="No","N/A","")</f>
        <v>#NAME?</v>
      </c>
      <c r="I24" s="19"/>
      <c r="J24" s="15"/>
      <c r="K24" s="16" t="e">
        <f t="array" aca="1" ref="K24" ca="1">_xludf.IFS(OR(H24="No",H24="N/A"),"",H24&lt;&gt;"Yes","※ 완화 방안 여부를 선택하세요",I24="","※ 상세 완화 방안을 기입하세요",J24="","※ 담당부서 및 수행주체를 입력하세요",TRUE,"")</f>
        <v>#NAME?</v>
      </c>
      <c r="L24" s="2"/>
      <c r="M24" s="13"/>
      <c r="N24" s="13" t="e">
        <f t="shared" ca="1" si="1"/>
        <v>#NAME?</v>
      </c>
      <c r="O24" s="16"/>
      <c r="P24" s="2"/>
      <c r="Q24" s="13" t="s">
        <v>211</v>
      </c>
      <c r="R24" s="13" t="e">
        <f t="shared" ca="1" si="0"/>
        <v>#NAME?</v>
      </c>
      <c r="S24" s="16"/>
    </row>
    <row r="25" spans="1:19" ht="30" customHeight="1">
      <c r="A25" s="2"/>
      <c r="B25" s="12">
        <v>20</v>
      </c>
      <c r="C25" s="13" t="s">
        <v>223</v>
      </c>
      <c r="D25" s="13" t="s">
        <v>226</v>
      </c>
      <c r="E25" s="13" t="s">
        <v>73</v>
      </c>
      <c r="F25" s="17" t="e">
        <f t="array" aca="1" ref="F25" ca="1">_xludf.XLOOKUP('2. AI위험 완화 방안 수립'!E25,'1. AI위험 식별'!$E$6:$E$37,'1. AI위험 식별'!$O$6:$O$37,"")</f>
        <v>#NAME?</v>
      </c>
      <c r="G25" s="2"/>
      <c r="H25" s="14" t="e">
        <f t="array" aca="1" ref="H25" ca="1">IF(_xludf.XLOOKUP(E25,'1. AI위험 식별'!$E$6:$E$37,'1. AI위험 식별'!$O$6:$O$37,"")="No","N/A","")</f>
        <v>#NAME?</v>
      </c>
      <c r="I25" s="19"/>
      <c r="J25" s="15"/>
      <c r="K25" s="16" t="e">
        <f t="array" aca="1" ref="K25" ca="1">_xludf.IFS(OR(H25="No",H25="N/A"),"",H25&lt;&gt;"Yes","※ 완화 방안 여부를 선택하세요",I25="","※ 상세 완화 방안을 기입하세요",J25="","※ 담당부서 및 수행주체를 입력하세요",TRUE,"")</f>
        <v>#NAME?</v>
      </c>
      <c r="L25" s="2"/>
      <c r="M25" s="13"/>
      <c r="N25" s="13" t="e">
        <f t="shared" ca="1" si="1"/>
        <v>#NAME?</v>
      </c>
      <c r="O25" s="16"/>
      <c r="P25" s="2"/>
      <c r="Q25" s="13" t="s">
        <v>211</v>
      </c>
      <c r="R25" s="13" t="e">
        <f t="shared" ca="1" si="0"/>
        <v>#NAME?</v>
      </c>
      <c r="S25" s="16"/>
    </row>
    <row r="26" spans="1:19" ht="30" customHeight="1">
      <c r="A26" s="2"/>
      <c r="B26" s="12">
        <v>21</v>
      </c>
      <c r="C26" s="13" t="s">
        <v>223</v>
      </c>
      <c r="D26" s="13" t="s">
        <v>226</v>
      </c>
      <c r="E26" s="13" t="s">
        <v>83</v>
      </c>
      <c r="F26" s="17" t="e">
        <f t="array" aca="1" ref="F26" ca="1">_xludf.XLOOKUP('2. AI위험 완화 방안 수립'!E26,'1. AI위험 식별'!$E$6:$E$37,'1. AI위험 식별'!$O$6:$O$37,"")</f>
        <v>#NAME?</v>
      </c>
      <c r="G26" s="2"/>
      <c r="H26" s="14" t="e">
        <f t="array" aca="1" ref="H26" ca="1">IF(_xludf.XLOOKUP(E26,'1. AI위험 식별'!$E$6:$E$37,'1. AI위험 식별'!$O$6:$O$37,"")="No","N/A","")</f>
        <v>#NAME?</v>
      </c>
      <c r="I26" s="19"/>
      <c r="J26" s="15"/>
      <c r="K26" s="16" t="e">
        <f t="array" aca="1" ref="K26" ca="1">_xludf.IFS(OR(H26="No",H26="N/A"),"",H26&lt;&gt;"Yes","※ 완화 방안 여부를 선택하세요",I26="","※ 상세 완화 방안을 기입하세요",J26="","※ 담당부서 및 수행주체를 입력하세요",TRUE,"")</f>
        <v>#NAME?</v>
      </c>
      <c r="L26" s="2"/>
      <c r="M26" s="13"/>
      <c r="N26" s="13" t="e">
        <f t="shared" ca="1" si="1"/>
        <v>#NAME?</v>
      </c>
      <c r="O26" s="16"/>
      <c r="P26" s="2"/>
      <c r="Q26" s="13" t="s">
        <v>211</v>
      </c>
      <c r="R26" s="13" t="e">
        <f t="shared" ca="1" si="0"/>
        <v>#NAME?</v>
      </c>
      <c r="S26" s="16"/>
    </row>
    <row r="27" spans="1:19" ht="30" customHeight="1">
      <c r="A27" s="2"/>
      <c r="B27" s="12">
        <v>22</v>
      </c>
      <c r="C27" s="13" t="s">
        <v>227</v>
      </c>
      <c r="D27" s="13" t="s">
        <v>228</v>
      </c>
      <c r="E27" s="13" t="s">
        <v>229</v>
      </c>
      <c r="F27" s="17" t="e">
        <f t="array" aca="1" ref="F27" ca="1">_xludf.XLOOKUP('2. AI위험 완화 방안 수립'!E27,'1. AI위험 식별'!$E$6:$E$37,'1. AI위험 식별'!$O$6:$O$37,"")</f>
        <v>#NAME?</v>
      </c>
      <c r="G27" s="2"/>
      <c r="H27" s="14" t="e">
        <f t="array" aca="1" ref="H27" ca="1">IF(_xludf.XLOOKUP(E27,'1. AI위험 식별'!$E$6:$E$37,'1. AI위험 식별'!$O$6:$O$37,"")="No","N/A","")</f>
        <v>#NAME?</v>
      </c>
      <c r="I27" s="19"/>
      <c r="J27" s="15"/>
      <c r="K27" s="16" t="e">
        <f t="array" aca="1" ref="K27" ca="1">_xludf.IFS(OR(H27="No",H27="N/A"),"",H27&lt;&gt;"Yes","※ 완화 방안 여부를 선택하세요",I27="","※ 상세 완화 방안을 기입하세요",J27="","※ 담당부서 및 수행주체를 입력하세요",TRUE,"")</f>
        <v>#NAME?</v>
      </c>
      <c r="L27" s="2"/>
      <c r="M27" s="13"/>
      <c r="N27" s="13" t="e">
        <f t="shared" ca="1" si="1"/>
        <v>#NAME?</v>
      </c>
      <c r="O27" s="16"/>
      <c r="P27" s="2"/>
      <c r="Q27" s="13" t="s">
        <v>217</v>
      </c>
      <c r="R27" s="13" t="e">
        <f t="shared" ca="1" si="0"/>
        <v>#NAME?</v>
      </c>
      <c r="S27" s="16"/>
    </row>
    <row r="28" spans="1:19" ht="30" customHeight="1">
      <c r="A28" s="2"/>
      <c r="B28" s="12">
        <v>23</v>
      </c>
      <c r="C28" s="13" t="s">
        <v>227</v>
      </c>
      <c r="D28" s="13" t="s">
        <v>228</v>
      </c>
      <c r="E28" s="13" t="s">
        <v>230</v>
      </c>
      <c r="F28" s="17" t="e">
        <f t="array" aca="1" ref="F28" ca="1">_xludf.XLOOKUP('2. AI위험 완화 방안 수립'!E28,'1. AI위험 식별'!$E$6:$E$37,'1. AI위험 식별'!$O$6:$O$37,"")</f>
        <v>#NAME?</v>
      </c>
      <c r="G28" s="2"/>
      <c r="H28" s="14" t="e">
        <f t="array" aca="1" ref="H28" ca="1">IF(_xludf.XLOOKUP(E28,'1. AI위험 식별'!$E$6:$E$37,'1. AI위험 식별'!$O$6:$O$37,"")="No","N/A","")</f>
        <v>#NAME?</v>
      </c>
      <c r="I28" s="19"/>
      <c r="J28" s="15"/>
      <c r="K28" s="16" t="e">
        <f t="array" aca="1" ref="K28" ca="1">_xludf.IFS(OR(H28="No",H28="N/A"),"",H28&lt;&gt;"Yes","※ 완화 방안 여부를 선택하세요",I28="","※ 상세 완화 방안을 기입하세요",J28="","※ 담당부서 및 수행주체를 입력하세요",TRUE,"")</f>
        <v>#NAME?</v>
      </c>
      <c r="L28" s="2"/>
      <c r="M28" s="13"/>
      <c r="N28" s="13" t="e">
        <f t="shared" ca="1" si="1"/>
        <v>#NAME?</v>
      </c>
      <c r="O28" s="16"/>
      <c r="P28" s="2"/>
      <c r="Q28" s="13" t="s">
        <v>217</v>
      </c>
      <c r="R28" s="13" t="e">
        <f t="shared" ca="1" si="0"/>
        <v>#NAME?</v>
      </c>
      <c r="S28" s="16"/>
    </row>
    <row r="29" spans="1:19" ht="30" customHeight="1">
      <c r="A29" s="2"/>
      <c r="B29" s="12">
        <v>24</v>
      </c>
      <c r="C29" s="13" t="s">
        <v>227</v>
      </c>
      <c r="D29" s="13" t="s">
        <v>228</v>
      </c>
      <c r="E29" s="13" t="s">
        <v>231</v>
      </c>
      <c r="F29" s="17" t="e">
        <f t="array" aca="1" ref="F29" ca="1">_xludf.XLOOKUP('2. AI위험 완화 방안 수립'!E29,'1. AI위험 식별'!$E$6:$E$37,'1. AI위험 식별'!$O$6:$O$37,"")</f>
        <v>#NAME?</v>
      </c>
      <c r="G29" s="2"/>
      <c r="H29" s="14" t="e">
        <f t="array" aca="1" ref="H29" ca="1">IF(_xludf.XLOOKUP(E29,'1. AI위험 식별'!$E$6:$E$37,'1. AI위험 식별'!$O$6:$O$37,"")="No","N/A","")</f>
        <v>#NAME?</v>
      </c>
      <c r="I29" s="19"/>
      <c r="J29" s="15"/>
      <c r="K29" s="16" t="e">
        <f t="array" aca="1" ref="K29" ca="1">_xludf.IFS(OR(H29="No",H29="N/A"),"",H29&lt;&gt;"Yes","※ 완화 방안 여부를 선택하세요",I29="","※ 상세 완화 방안을 기입하세요",J29="","※ 담당부서 및 수행주체를 입력하세요",TRUE,"")</f>
        <v>#NAME?</v>
      </c>
      <c r="L29" s="2"/>
      <c r="M29" s="13"/>
      <c r="N29" s="13" t="e">
        <f t="shared" ca="1" si="1"/>
        <v>#NAME?</v>
      </c>
      <c r="O29" s="16"/>
      <c r="P29" s="2"/>
      <c r="Q29" s="13" t="s">
        <v>211</v>
      </c>
      <c r="R29" s="13" t="e">
        <f t="shared" ca="1" si="0"/>
        <v>#NAME?</v>
      </c>
      <c r="S29" s="16"/>
    </row>
    <row r="30" spans="1:19" ht="30" customHeight="1">
      <c r="A30" s="2"/>
      <c r="B30" s="12">
        <v>25</v>
      </c>
      <c r="C30" s="13" t="s">
        <v>227</v>
      </c>
      <c r="D30" s="13" t="s">
        <v>228</v>
      </c>
      <c r="E30" s="13" t="s">
        <v>232</v>
      </c>
      <c r="F30" s="17" t="e">
        <f t="array" aca="1" ref="F30" ca="1">_xludf.XLOOKUP('2. AI위험 완화 방안 수립'!E30,'1. AI위험 식별'!$E$6:$E$37,'1. AI위험 식별'!$O$6:$O$37,"")</f>
        <v>#NAME?</v>
      </c>
      <c r="G30" s="2"/>
      <c r="H30" s="14" t="e">
        <f t="array" aca="1" ref="H30" ca="1">IF(_xludf.XLOOKUP(E30,'1. AI위험 식별'!$E$6:$E$37,'1. AI위험 식별'!$O$6:$O$37,"")="No","N/A","")</f>
        <v>#NAME?</v>
      </c>
      <c r="I30" s="19"/>
      <c r="J30" s="15"/>
      <c r="K30" s="16" t="e">
        <f t="array" aca="1" ref="K30" ca="1">_xludf.IFS(OR(H30="No",H30="N/A"),"",H30&lt;&gt;"Yes","※ 완화 방안 여부를 선택하세요",I30="","※ 상세 완화 방안을 기입하세요",J30="","※ 담당부서 및 수행주체를 입력하세요",TRUE,"")</f>
        <v>#NAME?</v>
      </c>
      <c r="L30" s="2"/>
      <c r="M30" s="13"/>
      <c r="N30" s="13" t="e">
        <f t="shared" ca="1" si="1"/>
        <v>#NAME?</v>
      </c>
      <c r="O30" s="16"/>
      <c r="P30" s="2"/>
      <c r="Q30" s="13" t="s">
        <v>217</v>
      </c>
      <c r="R30" s="13" t="e">
        <f t="shared" ca="1" si="0"/>
        <v>#NAME?</v>
      </c>
      <c r="S30" s="16"/>
    </row>
    <row r="31" spans="1:19" ht="30" customHeight="1">
      <c r="A31" s="2"/>
      <c r="B31" s="12">
        <v>26</v>
      </c>
      <c r="C31" s="13" t="s">
        <v>227</v>
      </c>
      <c r="D31" s="13" t="s">
        <v>228</v>
      </c>
      <c r="E31" s="13" t="s">
        <v>233</v>
      </c>
      <c r="F31" s="17" t="e">
        <f t="array" aca="1" ref="F31" ca="1">_xludf.XLOOKUP('2. AI위험 완화 방안 수립'!E31,'1. AI위험 식별'!$E$6:$E$37,'1. AI위험 식별'!$O$6:$O$37,"")</f>
        <v>#NAME?</v>
      </c>
      <c r="G31" s="2"/>
      <c r="H31" s="14" t="e">
        <f t="array" aca="1" ref="H31" ca="1">IF(_xludf.XLOOKUP(E31,'1. AI위험 식별'!$E$6:$E$37,'1. AI위험 식별'!$O$6:$O$37,"")="No","N/A","")</f>
        <v>#NAME?</v>
      </c>
      <c r="I31" s="19"/>
      <c r="J31" s="15"/>
      <c r="K31" s="16" t="e">
        <f t="array" aca="1" ref="K31" ca="1">_xludf.IFS(OR(H31="No",H31="N/A"),"",H31&lt;&gt;"Yes","※ 완화 방안 여부를 선택하세요",I31="","※ 상세 완화 방안을 기입하세요",J31="","※ 담당부서 및 수행주체를 입력하세요",TRUE,"")</f>
        <v>#NAME?</v>
      </c>
      <c r="L31" s="2"/>
      <c r="M31" s="13"/>
      <c r="N31" s="13" t="e">
        <f t="shared" ca="1" si="1"/>
        <v>#NAME?</v>
      </c>
      <c r="O31" s="16"/>
      <c r="P31" s="2"/>
      <c r="Q31" s="13" t="s">
        <v>211</v>
      </c>
      <c r="R31" s="13" t="e">
        <f t="shared" ca="1" si="0"/>
        <v>#NAME?</v>
      </c>
      <c r="S31" s="16"/>
    </row>
    <row r="32" spans="1:19" ht="30" customHeight="1">
      <c r="A32" s="2"/>
      <c r="B32" s="12">
        <v>27</v>
      </c>
      <c r="C32" s="13" t="s">
        <v>227</v>
      </c>
      <c r="D32" s="13" t="s">
        <v>234</v>
      </c>
      <c r="E32" s="13" t="s">
        <v>235</v>
      </c>
      <c r="F32" s="17" t="e">
        <f t="array" aca="1" ref="F32" ca="1">_xludf.XLOOKUP('2. AI위험 완화 방안 수립'!E32,'1. AI위험 식별'!$E$6:$E$37,'1. AI위험 식별'!$O$6:$O$37,"")</f>
        <v>#NAME?</v>
      </c>
      <c r="G32" s="2"/>
      <c r="H32" s="14" t="e">
        <f t="array" aca="1" ref="H32" ca="1">IF(_xludf.XLOOKUP(E32,'1. AI위험 식별'!$E$6:$E$37,'1. AI위험 식별'!$O$6:$O$37,"")="No","N/A","")</f>
        <v>#NAME?</v>
      </c>
      <c r="I32" s="19"/>
      <c r="J32" s="15"/>
      <c r="K32" s="16" t="e">
        <f t="array" aca="1" ref="K32" ca="1">_xludf.IFS(OR(H32="No",H32="N/A"),"",H32&lt;&gt;"Yes","※ 완화 방안 여부를 선택하세요",I32="","※ 상세 완화 방안을 기입하세요",J32="","※ 담당부서 및 수행주체를 입력하세요",TRUE,"")</f>
        <v>#NAME?</v>
      </c>
      <c r="L32" s="2"/>
      <c r="M32" s="13"/>
      <c r="N32" s="13" t="e">
        <f t="shared" ca="1" si="1"/>
        <v>#NAME?</v>
      </c>
      <c r="O32" s="16"/>
      <c r="P32" s="2"/>
      <c r="Q32" s="13" t="s">
        <v>217</v>
      </c>
      <c r="R32" s="13" t="e">
        <f t="shared" ca="1" si="0"/>
        <v>#NAME?</v>
      </c>
      <c r="S32" s="16"/>
    </row>
    <row r="33" spans="1:19" ht="30" customHeight="1">
      <c r="A33" s="2"/>
      <c r="B33" s="12">
        <v>28</v>
      </c>
      <c r="C33" s="13" t="s">
        <v>227</v>
      </c>
      <c r="D33" s="13" t="s">
        <v>236</v>
      </c>
      <c r="E33" s="13" t="s">
        <v>237</v>
      </c>
      <c r="F33" s="17" t="e">
        <f t="array" aca="1" ref="F33" ca="1">_xludf.XLOOKUP('2. AI위험 완화 방안 수립'!E33,'1. AI위험 식별'!$E$6:$E$37,'1. AI위험 식별'!$O$6:$O$37,"")</f>
        <v>#NAME?</v>
      </c>
      <c r="G33" s="2"/>
      <c r="H33" s="14" t="e">
        <f t="array" aca="1" ref="H33" ca="1">IF(_xludf.XLOOKUP(E33,'1. AI위험 식별'!$E$6:$E$37,'1. AI위험 식별'!$O$6:$O$37,"")="No","N/A","")</f>
        <v>#NAME?</v>
      </c>
      <c r="I33" s="19"/>
      <c r="J33" s="15"/>
      <c r="K33" s="16" t="e">
        <f t="array" aca="1" ref="K33" ca="1">_xludf.IFS(OR(H33="No",H33="N/A"),"",H33&lt;&gt;"Yes","※ 완화 방안 여부를 선택하세요",I33="","※ 상세 완화 방안을 기입하세요",J33="","※ 담당부서 및 수행주체를 입력하세요",TRUE,"")</f>
        <v>#NAME?</v>
      </c>
      <c r="L33" s="2"/>
      <c r="M33" s="13"/>
      <c r="N33" s="13" t="e">
        <f t="shared" ca="1" si="1"/>
        <v>#NAME?</v>
      </c>
      <c r="O33" s="16"/>
      <c r="P33" s="2"/>
      <c r="Q33" s="13" t="s">
        <v>211</v>
      </c>
      <c r="R33" s="13" t="e">
        <f t="shared" ca="1" si="0"/>
        <v>#NAME?</v>
      </c>
      <c r="S33" s="16"/>
    </row>
    <row r="34" spans="1:19" ht="30" customHeight="1">
      <c r="A34" s="2"/>
      <c r="B34" s="12">
        <v>29</v>
      </c>
      <c r="C34" s="13" t="s">
        <v>227</v>
      </c>
      <c r="D34" s="13" t="s">
        <v>236</v>
      </c>
      <c r="E34" s="13" t="s">
        <v>238</v>
      </c>
      <c r="F34" s="17" t="e">
        <f t="array" aca="1" ref="F34" ca="1">_xludf.XLOOKUP('2. AI위험 완화 방안 수립'!E34,'1. AI위험 식별'!$E$6:$E$37,'1. AI위험 식별'!$O$6:$O$37,"")</f>
        <v>#NAME?</v>
      </c>
      <c r="G34" s="2"/>
      <c r="H34" s="14" t="e">
        <f t="array" aca="1" ref="H34" ca="1">IF(_xludf.XLOOKUP(E34,'1. AI위험 식별'!$E$6:$E$37,'1. AI위험 식별'!$O$6:$O$37,"")="No","N/A","")</f>
        <v>#NAME?</v>
      </c>
      <c r="I34" s="19"/>
      <c r="J34" s="15"/>
      <c r="K34" s="16" t="e">
        <f t="array" aca="1" ref="K34" ca="1">_xludf.IFS(OR(H34="No",H34="N/A"),"",H34&lt;&gt;"Yes","※ 완화 방안 여부를 선택하세요",I34="","※ 상세 완화 방안을 기입하세요",J34="","※ 담당부서 및 수행주체를 입력하세요",TRUE,"")</f>
        <v>#NAME?</v>
      </c>
      <c r="L34" s="2"/>
      <c r="M34" s="13"/>
      <c r="N34" s="13" t="e">
        <f t="shared" ca="1" si="1"/>
        <v>#NAME?</v>
      </c>
      <c r="O34" s="16"/>
      <c r="P34" s="2"/>
      <c r="Q34" s="13" t="s">
        <v>211</v>
      </c>
      <c r="R34" s="13" t="e">
        <f t="shared" ca="1" si="0"/>
        <v>#NAME?</v>
      </c>
      <c r="S34" s="16"/>
    </row>
    <row r="35" spans="1:19" ht="30" customHeight="1">
      <c r="A35" s="2"/>
      <c r="B35" s="12">
        <v>30</v>
      </c>
      <c r="C35" s="13" t="s">
        <v>227</v>
      </c>
      <c r="D35" s="13" t="s">
        <v>239</v>
      </c>
      <c r="E35" s="13" t="s">
        <v>240</v>
      </c>
      <c r="F35" s="17" t="e">
        <f t="array" aca="1" ref="F35" ca="1">_xludf.XLOOKUP('2. AI위험 완화 방안 수립'!E35,'1. AI위험 식별'!$E$6:$E$37,'1. AI위험 식별'!$O$6:$O$37,"")</f>
        <v>#NAME?</v>
      </c>
      <c r="G35" s="2"/>
      <c r="H35" s="14" t="e">
        <f t="array" aca="1" ref="H35" ca="1">IF(_xludf.XLOOKUP(E35,'1. AI위험 식별'!$E$6:$E$37,'1. AI위험 식별'!$O$6:$O$37,"")="No","N/A","")</f>
        <v>#NAME?</v>
      </c>
      <c r="I35" s="19"/>
      <c r="J35" s="15"/>
      <c r="K35" s="16" t="e">
        <f t="array" aca="1" ref="K35" ca="1">_xludf.IFS(OR(H35="No",H35="N/A"),"",H35&lt;&gt;"Yes","※ 완화 방안 여부를 선택하세요",I35="","※ 상세 완화 방안을 기입하세요",J35="","※ 담당부서 및 수행주체를 입력하세요",TRUE,"")</f>
        <v>#NAME?</v>
      </c>
      <c r="L35" s="2"/>
      <c r="M35" s="13"/>
      <c r="N35" s="13" t="e">
        <f t="shared" ca="1" si="1"/>
        <v>#NAME?</v>
      </c>
      <c r="O35" s="16"/>
      <c r="P35" s="2"/>
      <c r="Q35" s="13" t="s">
        <v>211</v>
      </c>
      <c r="R35" s="13" t="e">
        <f t="shared" ca="1" si="0"/>
        <v>#NAME?</v>
      </c>
      <c r="S35" s="16"/>
    </row>
    <row r="36" spans="1:19" ht="30" customHeight="1">
      <c r="A36" s="2"/>
      <c r="B36" s="12">
        <v>31</v>
      </c>
      <c r="C36" s="13" t="s">
        <v>227</v>
      </c>
      <c r="D36" s="13" t="s">
        <v>239</v>
      </c>
      <c r="E36" s="13" t="s">
        <v>241</v>
      </c>
      <c r="F36" s="17" t="e">
        <f t="array" aca="1" ref="F36" ca="1">_xludf.XLOOKUP('2. AI위험 완화 방안 수립'!E36,'1. AI위험 식별'!$E$6:$E$37,'1. AI위험 식별'!$O$6:$O$37,"")</f>
        <v>#NAME?</v>
      </c>
      <c r="G36" s="2"/>
      <c r="H36" s="14" t="e">
        <f t="array" aca="1" ref="H36" ca="1">IF(_xludf.XLOOKUP(E36,'1. AI위험 식별'!$E$6:$E$37,'1. AI위험 식별'!$O$6:$O$37,"")="No","N/A","")</f>
        <v>#NAME?</v>
      </c>
      <c r="I36" s="19"/>
      <c r="J36" s="15"/>
      <c r="K36" s="16" t="e">
        <f t="array" aca="1" ref="K36" ca="1">_xludf.IFS(OR(H36="No",H36="N/A"),"",H36&lt;&gt;"Yes","※ 완화 방안 여부를 선택하세요",I36="","※ 상세 완화 방안을 기입하세요",J36="","※ 담당부서 및 수행주체를 입력하세요",TRUE,"")</f>
        <v>#NAME?</v>
      </c>
      <c r="L36" s="2"/>
      <c r="M36" s="13"/>
      <c r="N36" s="13" t="e">
        <f t="shared" ca="1" si="1"/>
        <v>#NAME?</v>
      </c>
      <c r="O36" s="16"/>
      <c r="P36" s="2"/>
      <c r="Q36" s="13" t="s">
        <v>217</v>
      </c>
      <c r="R36" s="13" t="e">
        <f t="shared" ca="1" si="0"/>
        <v>#NAME?</v>
      </c>
      <c r="S36" s="16"/>
    </row>
    <row r="37" spans="1:19" ht="30" customHeight="1">
      <c r="A37" s="2"/>
      <c r="B37" s="12">
        <v>32</v>
      </c>
      <c r="C37" s="13" t="s">
        <v>227</v>
      </c>
      <c r="D37" s="13" t="s">
        <v>239</v>
      </c>
      <c r="E37" s="13" t="s">
        <v>242</v>
      </c>
      <c r="F37" s="17" t="e">
        <f t="array" aca="1" ref="F37" ca="1">_xludf.XLOOKUP('2. AI위험 완화 방안 수립'!E37,'1. AI위험 식별'!$E$6:$E$37,'1. AI위험 식별'!$O$6:$O$37,"")</f>
        <v>#NAME?</v>
      </c>
      <c r="G37" s="2"/>
      <c r="H37" s="14" t="e">
        <f t="array" aca="1" ref="H37" ca="1">IF(_xludf.XLOOKUP(E37,'1. AI위험 식별'!$E$6:$E$37,'1. AI위험 식별'!$O$6:$O$37,"")="No","N/A","")</f>
        <v>#NAME?</v>
      </c>
      <c r="I37" s="19"/>
      <c r="J37" s="15"/>
      <c r="K37" s="16" t="e">
        <f t="array" aca="1" ref="K37" ca="1">_xludf.IFS(OR(H37="No",H37="N/A"),"",H37&lt;&gt;"Yes","※ 완화 방안 여부를 선택하세요",I37="","※ 상세 완화 방안을 기입하세요",J37="","※ 담당부서 및 수행주체를 입력하세요",TRUE,"")</f>
        <v>#NAME?</v>
      </c>
      <c r="L37" s="2"/>
      <c r="M37" s="13"/>
      <c r="N37" s="13" t="e">
        <f t="shared" ca="1" si="1"/>
        <v>#NAME?</v>
      </c>
      <c r="O37" s="16"/>
      <c r="P37" s="2"/>
      <c r="Q37" s="13" t="s">
        <v>211</v>
      </c>
      <c r="R37" s="13" t="e">
        <f t="shared" ca="1" si="0"/>
        <v>#NAME?</v>
      </c>
      <c r="S37" s="16"/>
    </row>
    <row r="38" spans="1:19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7.25" customHeight="1"/>
    <row r="40" spans="1:19" ht="17.25" customHeight="1"/>
    <row r="41" spans="1:19" ht="17.25" customHeight="1"/>
    <row r="42" spans="1:19" ht="17.25" customHeight="1"/>
    <row r="43" spans="1:19" ht="17.25" customHeight="1"/>
    <row r="44" spans="1:19" ht="17.25" customHeight="1"/>
    <row r="45" spans="1:19" ht="17.25" customHeight="1"/>
    <row r="46" spans="1:19" ht="17.25" customHeight="1"/>
    <row r="47" spans="1:19" ht="17.25" customHeight="1"/>
    <row r="48" spans="1:19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8">
    <mergeCell ref="B2:F2"/>
    <mergeCell ref="H2:K2"/>
    <mergeCell ref="M2:O2"/>
    <mergeCell ref="Q2:S2"/>
    <mergeCell ref="B3:F3"/>
    <mergeCell ref="H3:K3"/>
    <mergeCell ref="M3:O3"/>
    <mergeCell ref="Q3:S3"/>
  </mergeCells>
  <phoneticPr fontId="10" type="noConversion"/>
  <conditionalFormatting sqref="I6:K37 M6:O37 R6:S37">
    <cfRule type="expression" dxfId="8" priority="1">
      <formula>OR($H6="N/A")</formula>
    </cfRule>
  </conditionalFormatting>
  <conditionalFormatting sqref="I6:K37">
    <cfRule type="expression" dxfId="7" priority="2">
      <formula>OR($H6="No")</formula>
    </cfRule>
  </conditionalFormatting>
  <dataValidations count="1">
    <dataValidation type="list" allowBlank="1" sqref="H6:H37 N6:N37 R6:R37" xr:uid="{00000000-0002-0000-0300-000000000000}">
      <formula1>"Yes,No,N/A"</formula1>
    </dataValidation>
  </dataValidations>
  <pageMargins left="0.7" right="0.7" top="0.75" bottom="0.75" header="0" footer="0"/>
  <pageSetup paperSize="9" scale="1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7" sqref="J7"/>
    </sheetView>
  </sheetViews>
  <sheetFormatPr defaultColWidth="12.59765625" defaultRowHeight="15" customHeight="1"/>
  <cols>
    <col min="1" max="1" width="3.5" customWidth="1"/>
    <col min="2" max="2" width="5.19921875" customWidth="1"/>
    <col min="3" max="3" width="28.3984375" customWidth="1"/>
    <col min="4" max="4" width="30" customWidth="1"/>
    <col min="5" max="5" width="33.69921875" customWidth="1"/>
    <col min="6" max="6" width="28.09765625" customWidth="1"/>
    <col min="7" max="8" width="12.19921875" customWidth="1"/>
    <col min="9" max="9" width="3.69921875" customWidth="1"/>
    <col min="10" max="10" width="51.69921875" customWidth="1"/>
    <col min="11" max="11" width="20.19921875" customWidth="1"/>
    <col min="12" max="12" width="51.69921875" customWidth="1"/>
    <col min="13" max="13" width="3.69921875" customWidth="1"/>
    <col min="14" max="14" width="19.8984375" customWidth="1"/>
    <col min="15" max="15" width="24.3984375" customWidth="1"/>
    <col min="16" max="16" width="51.69921875" customWidth="1"/>
    <col min="17" max="17" width="3.19921875" customWidth="1"/>
    <col min="18" max="18" width="15.3984375" customWidth="1"/>
    <col min="19" max="19" width="21" customWidth="1"/>
    <col min="20" max="20" width="18.5" customWidth="1"/>
    <col min="21" max="21" width="4" customWidth="1"/>
    <col min="22" max="26" width="8.59765625" customWidth="1"/>
  </cols>
  <sheetData>
    <row r="1" spans="1:26" ht="17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6" ht="21" customHeight="1">
      <c r="A2" s="3"/>
      <c r="B2" s="55" t="s">
        <v>256</v>
      </c>
      <c r="C2" s="56"/>
      <c r="D2" s="56"/>
      <c r="E2" s="56"/>
      <c r="F2" s="56"/>
      <c r="G2" s="56"/>
      <c r="H2" s="58"/>
      <c r="I2" s="3"/>
      <c r="J2" s="55" t="s">
        <v>257</v>
      </c>
      <c r="K2" s="56"/>
      <c r="L2" s="58"/>
      <c r="M2" s="3"/>
      <c r="N2" s="55" t="s">
        <v>258</v>
      </c>
      <c r="O2" s="56"/>
      <c r="P2" s="58"/>
      <c r="Q2" s="3"/>
      <c r="R2" s="3"/>
      <c r="S2" s="3"/>
      <c r="T2" s="3"/>
      <c r="U2" s="3"/>
      <c r="V2" s="4"/>
      <c r="W2" s="4"/>
      <c r="X2" s="4"/>
      <c r="Y2" s="4"/>
      <c r="Z2" s="4"/>
    </row>
    <row r="3" spans="1:26" ht="166.5" customHeight="1">
      <c r="A3" s="2"/>
      <c r="B3" s="59" t="s">
        <v>259</v>
      </c>
      <c r="C3" s="56"/>
      <c r="D3" s="56"/>
      <c r="E3" s="56"/>
      <c r="F3" s="56"/>
      <c r="G3" s="56"/>
      <c r="H3" s="58"/>
      <c r="I3" s="2"/>
      <c r="J3" s="59" t="s">
        <v>260</v>
      </c>
      <c r="K3" s="56"/>
      <c r="L3" s="58"/>
      <c r="M3" s="2"/>
      <c r="N3" s="59" t="s">
        <v>261</v>
      </c>
      <c r="O3" s="56"/>
      <c r="P3" s="58"/>
      <c r="Q3" s="2"/>
      <c r="R3" s="2"/>
      <c r="S3" s="2"/>
      <c r="T3" s="2"/>
      <c r="U3" s="2"/>
    </row>
    <row r="4" spans="1:26" ht="10.5" customHeight="1">
      <c r="A4" s="2"/>
      <c r="B4" s="2" t="s">
        <v>198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6" ht="42" customHeight="1">
      <c r="A5" s="3"/>
      <c r="B5" s="63" t="s">
        <v>262</v>
      </c>
      <c r="C5" s="56"/>
      <c r="D5" s="56"/>
      <c r="E5" s="56"/>
      <c r="F5" s="56"/>
      <c r="G5" s="56"/>
      <c r="H5" s="58"/>
      <c r="I5" s="3"/>
      <c r="J5" s="61" t="s">
        <v>263</v>
      </c>
      <c r="K5" s="56"/>
      <c r="L5" s="58"/>
      <c r="M5" s="3"/>
      <c r="N5" s="61" t="s">
        <v>263</v>
      </c>
      <c r="O5" s="56"/>
      <c r="P5" s="58"/>
      <c r="Q5" s="3"/>
      <c r="R5" s="61" t="s">
        <v>264</v>
      </c>
      <c r="S5" s="56"/>
      <c r="T5" s="58"/>
      <c r="U5" s="3"/>
      <c r="V5" s="4"/>
      <c r="W5" s="4"/>
      <c r="X5" s="4"/>
      <c r="Y5" s="4"/>
      <c r="Z5" s="4"/>
    </row>
    <row r="6" spans="1:26" ht="17.25" customHeight="1">
      <c r="A6" s="5"/>
      <c r="B6" s="20" t="s">
        <v>199</v>
      </c>
      <c r="C6" s="20" t="s">
        <v>200</v>
      </c>
      <c r="D6" s="20" t="s">
        <v>201</v>
      </c>
      <c r="E6" s="20" t="s">
        <v>202</v>
      </c>
      <c r="F6" s="6" t="s">
        <v>252</v>
      </c>
      <c r="G6" s="21" t="s">
        <v>265</v>
      </c>
      <c r="H6" s="22" t="s">
        <v>266</v>
      </c>
      <c r="I6" s="5"/>
      <c r="J6" s="8" t="s">
        <v>267</v>
      </c>
      <c r="K6" s="8" t="s">
        <v>268</v>
      </c>
      <c r="L6" s="9" t="s">
        <v>205</v>
      </c>
      <c r="M6" s="5"/>
      <c r="N6" s="10" t="s">
        <v>206</v>
      </c>
      <c r="O6" s="10" t="s">
        <v>269</v>
      </c>
      <c r="P6" s="10" t="s">
        <v>208</v>
      </c>
      <c r="Q6" s="5"/>
      <c r="R6" s="21" t="s">
        <v>270</v>
      </c>
      <c r="S6" s="21" t="s">
        <v>271</v>
      </c>
      <c r="T6" s="22" t="s">
        <v>272</v>
      </c>
      <c r="U6" s="5"/>
      <c r="V6" s="11"/>
      <c r="W6" s="11"/>
      <c r="X6" s="11"/>
      <c r="Y6" s="11"/>
      <c r="Z6" s="11"/>
    </row>
    <row r="7" spans="1:26" ht="30" customHeight="1">
      <c r="A7" s="5"/>
      <c r="B7" s="12">
        <v>1</v>
      </c>
      <c r="C7" s="13" t="s">
        <v>209</v>
      </c>
      <c r="D7" s="13" t="s">
        <v>210</v>
      </c>
      <c r="E7" s="13" t="s">
        <v>4</v>
      </c>
      <c r="F7" s="23" t="e">
        <f t="array" aca="1" ref="F7" ca="1">_xludf.XLOOKUP(E7,'2. AI위험 완화 방안 수립'!$E$6:$E$37,'2. AI위험 완화 방안 수립'!$I$6:$I$37,"")</f>
        <v>#NAME?</v>
      </c>
      <c r="G7" s="13" t="e">
        <f t="array" aca="1" ref="G7" ca="1">_xludf.XLOOKUP($E7,'1. AI위험 식별'!$E$6:$E$37,'1. AI위험 식별'!$O$6:$O$37,)</f>
        <v>#NAME?</v>
      </c>
      <c r="H7" s="13" t="e">
        <f t="array" aca="1" ref="H7" ca="1">IF(_xludf.XLOOKUP(E7,'2. AI위험 완화 방안 수립'!$E$6:$E$37,'2. AI위험 완화 방안 수립'!$N$6:$N$37,"")="yes",_xludf.XLOOKUP($E7,'2. AI위험 완화 방안 수립'!$E$6:$E$37,'2. AI위험 완화 방안 수립'!$H$6:$H$37,""),"")</f>
        <v>#NAME?</v>
      </c>
      <c r="I7" s="2"/>
      <c r="J7" s="15"/>
      <c r="K7" s="24"/>
      <c r="L7" s="16" t="e">
        <f t="array" aca="1" ref="L7" ca="1">_xludf.IFS(J7="","※ 2. 완화 방안시트를 다시 확인하세요.",K7="","※ 잔여 위험 수준을 평가해주세요.",TRUE,"")</f>
        <v>#NAME?</v>
      </c>
      <c r="M7" s="2"/>
      <c r="N7" s="13" t="s">
        <v>211</v>
      </c>
      <c r="O7" s="13"/>
      <c r="P7" s="16"/>
      <c r="Q7" s="2"/>
      <c r="R7" s="13" t="e">
        <f t="shared" ref="R7:R38" ca="1" si="0">IF(G7="Yes",_xludf.XLOOKUP(E7,#REF!,#REF!,""),)</f>
        <v>#NAME?</v>
      </c>
      <c r="S7" s="25">
        <f t="array" ref="S7">IF(O7="Yes",_xludf.IFS(K7="○",100%,K7="△",50%,K7="X",0%,TRUE,0),0)</f>
        <v>0</v>
      </c>
      <c r="T7" s="13" t="e">
        <f t="shared" ref="T7:T38" ca="1" si="1">R7*(1-S7)</f>
        <v>#NAME?</v>
      </c>
      <c r="U7" s="2"/>
    </row>
    <row r="8" spans="1:26" ht="30" customHeight="1">
      <c r="A8" s="5"/>
      <c r="B8" s="12">
        <v>2</v>
      </c>
      <c r="C8" s="13" t="s">
        <v>209</v>
      </c>
      <c r="D8" s="13" t="s">
        <v>210</v>
      </c>
      <c r="E8" s="13" t="s">
        <v>12</v>
      </c>
      <c r="F8" s="23" t="e">
        <f t="array" aca="1" ref="F8" ca="1">_xludf.XLOOKUP(E8,'2. AI위험 완화 방안 수립'!$E$6:$E$37,'2. AI위험 완화 방안 수립'!$I$6:$I$37,"")</f>
        <v>#NAME?</v>
      </c>
      <c r="G8" s="13" t="e">
        <f t="array" aca="1" ref="G8" ca="1">_xludf.XLOOKUP($E8,'1. AI위험 식별'!$E$6:$E$37,'1. AI위험 식별'!$O$6:$O$37,)</f>
        <v>#NAME?</v>
      </c>
      <c r="H8" s="13" t="e">
        <f t="array" aca="1" ref="H8" ca="1">IF(_xludf.XLOOKUP(E8,'2. AI위험 완화 방안 수립'!$E$6:$E$37,'2. AI위험 완화 방안 수립'!$N$6:$N$37,"")="yes",_xludf.XLOOKUP($E8,'2. AI위험 완화 방안 수립'!$E$6:$E$37,'2. AI위험 완화 방안 수립'!$H$6:$H$37,""),"")</f>
        <v>#NAME?</v>
      </c>
      <c r="I8" s="2"/>
      <c r="J8" s="15"/>
      <c r="K8" s="24"/>
      <c r="L8" s="16" t="e">
        <f t="array" aca="1" ref="L8" ca="1">_xludf.IFS(J8="","※ 2. 완화 방안시트를 다시 확인하세요.",K8="","※ 잔여 위험 수준을 평가해주세요.",TRUE,"")</f>
        <v>#NAME?</v>
      </c>
      <c r="M8" s="2"/>
      <c r="N8" s="13" t="s">
        <v>211</v>
      </c>
      <c r="O8" s="13"/>
      <c r="P8" s="16"/>
      <c r="Q8" s="2"/>
      <c r="R8" s="13" t="e">
        <f t="shared" ca="1" si="0"/>
        <v>#NAME?</v>
      </c>
      <c r="S8" s="25">
        <f t="array" ref="S8">IF(O8="Yes",_xludf.IFS(K8="○",100%,K8="△",50%,K8="X",0%,TRUE,0),0)</f>
        <v>0</v>
      </c>
      <c r="T8" s="13" t="e">
        <f t="shared" ca="1" si="1"/>
        <v>#NAME?</v>
      </c>
      <c r="U8" s="2"/>
    </row>
    <row r="9" spans="1:26" ht="30" customHeight="1">
      <c r="A9" s="5"/>
      <c r="B9" s="12">
        <v>3</v>
      </c>
      <c r="C9" s="13" t="s">
        <v>209</v>
      </c>
      <c r="D9" s="13" t="s">
        <v>212</v>
      </c>
      <c r="E9" s="13" t="s">
        <v>23</v>
      </c>
      <c r="F9" s="23" t="e">
        <f t="array" aca="1" ref="F9" ca="1">_xludf.XLOOKUP(E9,'2. AI위험 완화 방안 수립'!$E$6:$E$37,'2. AI위험 완화 방안 수립'!$I$6:$I$37,"")</f>
        <v>#NAME?</v>
      </c>
      <c r="G9" s="13" t="e">
        <f t="array" aca="1" ref="G9" ca="1">_xludf.XLOOKUP($E9,'1. AI위험 식별'!$E$6:$E$37,'1. AI위험 식별'!$O$6:$O$37,)</f>
        <v>#NAME?</v>
      </c>
      <c r="H9" s="13" t="e">
        <f t="array" aca="1" ref="H9" ca="1">IF(_xludf.XLOOKUP(E9,'2. AI위험 완화 방안 수립'!$E$6:$E$37,'2. AI위험 완화 방안 수립'!$N$6:$N$37,"")="yes",_xludf.XLOOKUP($E9,'2. AI위험 완화 방안 수립'!$E$6:$E$37,'2. AI위험 완화 방안 수립'!$H$6:$H$37,""),"")</f>
        <v>#NAME?</v>
      </c>
      <c r="I9" s="2"/>
      <c r="J9" s="15"/>
      <c r="K9" s="24"/>
      <c r="L9" s="16" t="e">
        <f t="array" aca="1" ref="L9" ca="1">_xludf.IFS(J9="","※ 2. 완화 방안시트를 다시 확인하세요.",K9="","※ 잔여 위험 수준을 평가해주세요.",TRUE,"")</f>
        <v>#NAME?</v>
      </c>
      <c r="M9" s="2"/>
      <c r="N9" s="13" t="s">
        <v>211</v>
      </c>
      <c r="O9" s="13"/>
      <c r="P9" s="16"/>
      <c r="Q9" s="2"/>
      <c r="R9" s="13" t="e">
        <f t="shared" ca="1" si="0"/>
        <v>#NAME?</v>
      </c>
      <c r="S9" s="25">
        <f t="array" ref="S9">IF(O9="Yes",_xludf.IFS(K9="○",100%,K9="△",50%,K9="X",0%,TRUE,0),0)</f>
        <v>0</v>
      </c>
      <c r="T9" s="13" t="e">
        <f t="shared" ca="1" si="1"/>
        <v>#NAME?</v>
      </c>
      <c r="U9" s="2"/>
    </row>
    <row r="10" spans="1:26" ht="30" customHeight="1">
      <c r="A10" s="5"/>
      <c r="B10" s="12">
        <v>4</v>
      </c>
      <c r="C10" s="13" t="s">
        <v>209</v>
      </c>
      <c r="D10" s="13" t="s">
        <v>213</v>
      </c>
      <c r="E10" s="13" t="s">
        <v>44</v>
      </c>
      <c r="F10" s="23" t="e">
        <f t="array" aca="1" ref="F10" ca="1">_xludf.XLOOKUP(E10,'2. AI위험 완화 방안 수립'!$E$6:$E$37,'2. AI위험 완화 방안 수립'!$I$6:$I$37,"")</f>
        <v>#NAME?</v>
      </c>
      <c r="G10" s="13" t="e">
        <f t="array" aca="1" ref="G10" ca="1">_xludf.XLOOKUP($E10,'1. AI위험 식별'!$E$6:$E$37,'1. AI위험 식별'!$O$6:$O$37,)</f>
        <v>#NAME?</v>
      </c>
      <c r="H10" s="13" t="e">
        <f t="array" aca="1" ref="H10" ca="1">IF(_xludf.XLOOKUP(E10,'2. AI위험 완화 방안 수립'!$E$6:$E$37,'2. AI위험 완화 방안 수립'!$N$6:$N$37,"")="yes",_xludf.XLOOKUP($E10,'2. AI위험 완화 방안 수립'!$E$6:$E$37,'2. AI위험 완화 방안 수립'!$H$6:$H$37,""),"")</f>
        <v>#NAME?</v>
      </c>
      <c r="I10" s="2"/>
      <c r="J10" s="15"/>
      <c r="K10" s="24"/>
      <c r="L10" s="16" t="e">
        <f t="array" aca="1" ref="L10" ca="1">_xludf.IFS(J10="","※ 2. 완화 방안시트를 다시 확인하세요.",K10="","※ 잔여 위험 수준을 평가해주세요.",TRUE,"")</f>
        <v>#NAME?</v>
      </c>
      <c r="M10" s="2"/>
      <c r="N10" s="13" t="s">
        <v>211</v>
      </c>
      <c r="O10" s="13"/>
      <c r="P10" s="16"/>
      <c r="Q10" s="2"/>
      <c r="R10" s="13" t="e">
        <f t="shared" ca="1" si="0"/>
        <v>#NAME?</v>
      </c>
      <c r="S10" s="25">
        <f t="array" ref="S10">IF(O10="Yes",_xludf.IFS(K10="○",100%,K10="△",50%,K10="X",0%,TRUE,0),0)</f>
        <v>0</v>
      </c>
      <c r="T10" s="13" t="e">
        <f t="shared" ca="1" si="1"/>
        <v>#NAME?</v>
      </c>
      <c r="U10" s="2"/>
    </row>
    <row r="11" spans="1:26" ht="30" customHeight="1">
      <c r="A11" s="5"/>
      <c r="B11" s="12">
        <v>5</v>
      </c>
      <c r="C11" s="13" t="s">
        <v>209</v>
      </c>
      <c r="D11" s="13" t="s">
        <v>213</v>
      </c>
      <c r="E11" s="13" t="s">
        <v>47</v>
      </c>
      <c r="F11" s="23" t="e">
        <f t="array" aca="1" ref="F11" ca="1">_xludf.XLOOKUP(E11,'2. AI위험 완화 방안 수립'!$E$6:$E$37,'2. AI위험 완화 방안 수립'!$I$6:$I$37,"")</f>
        <v>#NAME?</v>
      </c>
      <c r="G11" s="13" t="e">
        <f t="array" aca="1" ref="G11" ca="1">_xludf.XLOOKUP($E11,'1. AI위험 식별'!$E$6:$E$37,'1. AI위험 식별'!$O$6:$O$37,)</f>
        <v>#NAME?</v>
      </c>
      <c r="H11" s="13" t="e">
        <f t="array" aca="1" ref="H11" ca="1">IF(_xludf.XLOOKUP(E11,'2. AI위험 완화 방안 수립'!$E$6:$E$37,'2. AI위험 완화 방안 수립'!$N$6:$N$37,"")="yes",_xludf.XLOOKUP($E11,'2. AI위험 완화 방안 수립'!$E$6:$E$37,'2. AI위험 완화 방안 수립'!$H$6:$H$37,""),"")</f>
        <v>#NAME?</v>
      </c>
      <c r="I11" s="2"/>
      <c r="J11" s="15"/>
      <c r="K11" s="24"/>
      <c r="L11" s="16" t="e">
        <f t="array" aca="1" ref="L11" ca="1">_xludf.IFS(J11="","※ 2. 완화 방안시트를 다시 확인하세요.",K11="","※ 잔여 위험 수준을 평가해주세요.",TRUE,"")</f>
        <v>#NAME?</v>
      </c>
      <c r="M11" s="2"/>
      <c r="N11" s="13" t="s">
        <v>211</v>
      </c>
      <c r="O11" s="13"/>
      <c r="P11" s="16"/>
      <c r="Q11" s="2"/>
      <c r="R11" s="13" t="e">
        <f t="shared" ca="1" si="0"/>
        <v>#NAME?</v>
      </c>
      <c r="S11" s="25">
        <f t="array" ref="S11">IF(O11="Yes",_xludf.IFS(K11="○",100%,K11="△",50%,K11="X",0%,TRUE,0),0)</f>
        <v>0</v>
      </c>
      <c r="T11" s="13" t="e">
        <f t="shared" ca="1" si="1"/>
        <v>#NAME?</v>
      </c>
      <c r="U11" s="2"/>
    </row>
    <row r="12" spans="1:26" ht="30" customHeight="1">
      <c r="A12" s="5"/>
      <c r="B12" s="12">
        <v>6</v>
      </c>
      <c r="C12" s="13" t="s">
        <v>209</v>
      </c>
      <c r="D12" s="13" t="s">
        <v>214</v>
      </c>
      <c r="E12" s="13" t="s">
        <v>54</v>
      </c>
      <c r="F12" s="23" t="e">
        <f t="array" aca="1" ref="F12" ca="1">_xludf.XLOOKUP(E12,'2. AI위험 완화 방안 수립'!$E$6:$E$37,'2. AI위험 완화 방안 수립'!$I$6:$I$37,"")</f>
        <v>#NAME?</v>
      </c>
      <c r="G12" s="13" t="e">
        <f t="array" aca="1" ref="G12" ca="1">_xludf.XLOOKUP($E12,'1. AI위험 식별'!$E$6:$E$37,'1. AI위험 식별'!$O$6:$O$37,)</f>
        <v>#NAME?</v>
      </c>
      <c r="H12" s="13" t="e">
        <f t="array" aca="1" ref="H12" ca="1">IF(_xludf.XLOOKUP(E12,'2. AI위험 완화 방안 수립'!$E$6:$E$37,'2. AI위험 완화 방안 수립'!$N$6:$N$37,"")="yes",_xludf.XLOOKUP($E12,'2. AI위험 완화 방안 수립'!$E$6:$E$37,'2. AI위험 완화 방안 수립'!$H$6:$H$37,""),"")</f>
        <v>#NAME?</v>
      </c>
      <c r="I12" s="2"/>
      <c r="J12" s="15"/>
      <c r="K12" s="24"/>
      <c r="L12" s="16" t="e">
        <f t="array" aca="1" ref="L12" ca="1">_xludf.IFS(J12="","※ 2. 완화 방안시트를 다시 확인하세요.",K12="","※ 잔여 위험 수준을 평가해주세요.",TRUE,"")</f>
        <v>#NAME?</v>
      </c>
      <c r="M12" s="2"/>
      <c r="N12" s="13" t="s">
        <v>211</v>
      </c>
      <c r="O12" s="13"/>
      <c r="P12" s="16"/>
      <c r="Q12" s="2"/>
      <c r="R12" s="13" t="e">
        <f t="shared" ca="1" si="0"/>
        <v>#NAME?</v>
      </c>
      <c r="S12" s="25">
        <f t="array" ref="S12">IF(O12="Yes",_xludf.IFS(K12="○",100%,K12="△",50%,K12="X",0%,TRUE,0),0)</f>
        <v>0</v>
      </c>
      <c r="T12" s="13" t="e">
        <f t="shared" ca="1" si="1"/>
        <v>#NAME?</v>
      </c>
      <c r="U12" s="2"/>
    </row>
    <row r="13" spans="1:26" ht="30" customHeight="1">
      <c r="A13" s="5"/>
      <c r="B13" s="12">
        <v>7</v>
      </c>
      <c r="C13" s="13" t="s">
        <v>215</v>
      </c>
      <c r="D13" s="13" t="s">
        <v>216</v>
      </c>
      <c r="E13" s="13" t="s">
        <v>91</v>
      </c>
      <c r="F13" s="23" t="e">
        <f t="array" aca="1" ref="F13" ca="1">_xludf.XLOOKUP(E13,'2. AI위험 완화 방안 수립'!$E$6:$E$37,'2. AI위험 완화 방안 수립'!$I$6:$I$37,"")</f>
        <v>#NAME?</v>
      </c>
      <c r="G13" s="13" t="e">
        <f t="array" aca="1" ref="G13" ca="1">_xludf.XLOOKUP($E13,'1. AI위험 식별'!$E$6:$E$37,'1. AI위험 식별'!$O$6:$O$37,)</f>
        <v>#NAME?</v>
      </c>
      <c r="H13" s="13" t="e">
        <f t="array" aca="1" ref="H13" ca="1">IF(_xludf.XLOOKUP(E13,'2. AI위험 완화 방안 수립'!$E$6:$E$37,'2. AI위험 완화 방안 수립'!$N$6:$N$37,"")="yes",_xludf.XLOOKUP($E13,'2. AI위험 완화 방안 수립'!$E$6:$E$37,'2. AI위험 완화 방안 수립'!$H$6:$H$37,""),"")</f>
        <v>#NAME?</v>
      </c>
      <c r="I13" s="2"/>
      <c r="J13" s="15"/>
      <c r="K13" s="24"/>
      <c r="L13" s="16" t="e">
        <f t="array" aca="1" ref="L13" ca="1">_xludf.IFS(J13="","※ 2. 완화 방안시트를 다시 확인하세요.",K13="","※ 잔여 위험 수준을 평가해주세요.",TRUE,"")</f>
        <v>#NAME?</v>
      </c>
      <c r="M13" s="2"/>
      <c r="N13" s="13" t="s">
        <v>217</v>
      </c>
      <c r="O13" s="13"/>
      <c r="P13" s="16"/>
      <c r="Q13" s="2"/>
      <c r="R13" s="13" t="e">
        <f t="shared" ca="1" si="0"/>
        <v>#NAME?</v>
      </c>
      <c r="S13" s="25">
        <f t="array" ref="S13">IF(O13="Yes",_xludf.IFS(K13="○",100%,K13="△",50%,K13="X",0%,TRUE,0),0)</f>
        <v>0</v>
      </c>
      <c r="T13" s="13" t="e">
        <f t="shared" ca="1" si="1"/>
        <v>#NAME?</v>
      </c>
      <c r="U13" s="2"/>
    </row>
    <row r="14" spans="1:26" ht="30" customHeight="1">
      <c r="A14" s="5"/>
      <c r="B14" s="12">
        <v>8</v>
      </c>
      <c r="C14" s="13" t="s">
        <v>215</v>
      </c>
      <c r="D14" s="13" t="s">
        <v>216</v>
      </c>
      <c r="E14" s="13" t="s">
        <v>98</v>
      </c>
      <c r="F14" s="23" t="e">
        <f t="array" aca="1" ref="F14" ca="1">_xludf.XLOOKUP(E14,'2. AI위험 완화 방안 수립'!$E$6:$E$37,'2. AI위험 완화 방안 수립'!$I$6:$I$37,"")</f>
        <v>#NAME?</v>
      </c>
      <c r="G14" s="13" t="e">
        <f t="array" aca="1" ref="G14" ca="1">_xludf.XLOOKUP($E14,'1. AI위험 식별'!$E$6:$E$37,'1. AI위험 식별'!$O$6:$O$37,)</f>
        <v>#NAME?</v>
      </c>
      <c r="H14" s="13" t="e">
        <f t="array" aca="1" ref="H14" ca="1">IF(_xludf.XLOOKUP(E14,'2. AI위험 완화 방안 수립'!$E$6:$E$37,'2. AI위험 완화 방안 수립'!$N$6:$N$37,"")="yes",_xludf.XLOOKUP($E14,'2. AI위험 완화 방안 수립'!$E$6:$E$37,'2. AI위험 완화 방안 수립'!$H$6:$H$37,""),"")</f>
        <v>#NAME?</v>
      </c>
      <c r="I14" s="2"/>
      <c r="J14" s="15"/>
      <c r="K14" s="24"/>
      <c r="L14" s="16" t="e">
        <f t="array" aca="1" ref="L14" ca="1">_xludf.IFS(J14="","※ 2. 완화 방안시트를 다시 확인하세요.",K14="","※ 잔여 위험 수준을 평가해주세요.",TRUE,"")</f>
        <v>#NAME?</v>
      </c>
      <c r="M14" s="2"/>
      <c r="N14" s="13" t="s">
        <v>217</v>
      </c>
      <c r="O14" s="13"/>
      <c r="P14" s="16"/>
      <c r="Q14" s="2"/>
      <c r="R14" s="13" t="e">
        <f t="shared" ca="1" si="0"/>
        <v>#NAME?</v>
      </c>
      <c r="S14" s="25">
        <f t="array" ref="S14">IF(O14="Yes",_xludf.IFS(K14="○",100%,K14="△",50%,K14="X",0%,TRUE,0),0)</f>
        <v>0</v>
      </c>
      <c r="T14" s="13" t="e">
        <f t="shared" ca="1" si="1"/>
        <v>#NAME?</v>
      </c>
      <c r="U14" s="2"/>
    </row>
    <row r="15" spans="1:26" ht="30" customHeight="1">
      <c r="A15" s="5"/>
      <c r="B15" s="12">
        <v>9</v>
      </c>
      <c r="C15" s="13" t="s">
        <v>215</v>
      </c>
      <c r="D15" s="13" t="s">
        <v>216</v>
      </c>
      <c r="E15" s="13" t="s">
        <v>63</v>
      </c>
      <c r="F15" s="23" t="e">
        <f t="array" aca="1" ref="F15" ca="1">_xludf.XLOOKUP(E15,'2. AI위험 완화 방안 수립'!$E$6:$E$37,'2. AI위험 완화 방안 수립'!$I$6:$I$37,"")</f>
        <v>#NAME?</v>
      </c>
      <c r="G15" s="13" t="e">
        <f t="array" aca="1" ref="G15" ca="1">_xludf.XLOOKUP($E15,'1. AI위험 식별'!$E$6:$E$37,'1. AI위험 식별'!$O$6:$O$37,)</f>
        <v>#NAME?</v>
      </c>
      <c r="H15" s="13" t="e">
        <f t="array" aca="1" ref="H15" ca="1">IF(_xludf.XLOOKUP(E15,'2. AI위험 완화 방안 수립'!$E$6:$E$37,'2. AI위험 완화 방안 수립'!$N$6:$N$37,"")="yes",_xludf.XLOOKUP($E15,'2. AI위험 완화 방안 수립'!$E$6:$E$37,'2. AI위험 완화 방안 수립'!$H$6:$H$37,""),"")</f>
        <v>#NAME?</v>
      </c>
      <c r="I15" s="2"/>
      <c r="J15" s="15"/>
      <c r="K15" s="24"/>
      <c r="L15" s="16" t="e">
        <f t="array" aca="1" ref="L15" ca="1">_xludf.IFS(J15="","※ 2. 완화 방안시트를 다시 확인하세요.",K15="","※ 잔여 위험 수준을 평가해주세요.",TRUE,"")</f>
        <v>#NAME?</v>
      </c>
      <c r="M15" s="2"/>
      <c r="N15" s="13" t="s">
        <v>217</v>
      </c>
      <c r="O15" s="13"/>
      <c r="P15" s="16"/>
      <c r="Q15" s="2"/>
      <c r="R15" s="13" t="e">
        <f t="shared" ca="1" si="0"/>
        <v>#NAME?</v>
      </c>
      <c r="S15" s="25">
        <f t="array" ref="S15">IF(O15="Yes",_xludf.IFS(K15="○",100%,K15="△",50%,K15="X",0%,TRUE,0),0)</f>
        <v>0</v>
      </c>
      <c r="T15" s="13" t="e">
        <f t="shared" ca="1" si="1"/>
        <v>#NAME?</v>
      </c>
      <c r="U15" s="2"/>
    </row>
    <row r="16" spans="1:26" ht="30" customHeight="1">
      <c r="A16" s="5"/>
      <c r="B16" s="12">
        <v>10</v>
      </c>
      <c r="C16" s="13" t="s">
        <v>215</v>
      </c>
      <c r="D16" s="13" t="s">
        <v>218</v>
      </c>
      <c r="E16" s="13" t="s">
        <v>67</v>
      </c>
      <c r="F16" s="23" t="e">
        <f t="array" aca="1" ref="F16" ca="1">_xludf.XLOOKUP(E16,'2. AI위험 완화 방안 수립'!$E$6:$E$37,'2. AI위험 완화 방안 수립'!$I$6:$I$37,"")</f>
        <v>#NAME?</v>
      </c>
      <c r="G16" s="13" t="e">
        <f t="array" aca="1" ref="G16" ca="1">_xludf.XLOOKUP($E16,'1. AI위험 식별'!$E$6:$E$37,'1. AI위험 식별'!$O$6:$O$37,)</f>
        <v>#NAME?</v>
      </c>
      <c r="H16" s="13" t="e">
        <f t="array" aca="1" ref="H16" ca="1">IF(_xludf.XLOOKUP(E16,'2. AI위험 완화 방안 수립'!$E$6:$E$37,'2. AI위험 완화 방안 수립'!$N$6:$N$37,"")="yes",_xludf.XLOOKUP($E16,'2. AI위험 완화 방안 수립'!$E$6:$E$37,'2. AI위험 완화 방안 수립'!$H$6:$H$37,""),"")</f>
        <v>#NAME?</v>
      </c>
      <c r="I16" s="2"/>
      <c r="J16" s="15"/>
      <c r="K16" s="24"/>
      <c r="L16" s="16" t="e">
        <f t="array" aca="1" ref="L16" ca="1">_xludf.IFS(J16="","※ 2. 완화 방안시트를 다시 확인하세요.",K16="","※ 잔여 위험 수준을 평가해주세요.",TRUE,"")</f>
        <v>#NAME?</v>
      </c>
      <c r="M16" s="2"/>
      <c r="N16" s="13" t="s">
        <v>217</v>
      </c>
      <c r="O16" s="13"/>
      <c r="P16" s="16"/>
      <c r="Q16" s="2"/>
      <c r="R16" s="13" t="e">
        <f t="shared" ca="1" si="0"/>
        <v>#NAME?</v>
      </c>
      <c r="S16" s="25">
        <f t="array" ref="S16">IF(O16="Yes",_xludf.IFS(K16="○",100%,K16="△",50%,K16="X",0%,TRUE,0),0)</f>
        <v>0</v>
      </c>
      <c r="T16" s="13" t="e">
        <f t="shared" ca="1" si="1"/>
        <v>#NAME?</v>
      </c>
      <c r="U16" s="2"/>
    </row>
    <row r="17" spans="1:21" ht="30" customHeight="1">
      <c r="A17" s="5"/>
      <c r="B17" s="12">
        <v>11</v>
      </c>
      <c r="C17" s="13" t="s">
        <v>215</v>
      </c>
      <c r="D17" s="13" t="s">
        <v>219</v>
      </c>
      <c r="E17" s="13" t="s">
        <v>106</v>
      </c>
      <c r="F17" s="23" t="e">
        <f t="array" aca="1" ref="F17" ca="1">_xludf.XLOOKUP(E17,'2. AI위험 완화 방안 수립'!$E$6:$E$37,'2. AI위험 완화 방안 수립'!$I$6:$I$37,"")</f>
        <v>#NAME?</v>
      </c>
      <c r="G17" s="13" t="e">
        <f t="array" aca="1" ref="G17" ca="1">_xludf.XLOOKUP($E17,'1. AI위험 식별'!$E$6:$E$37,'1. AI위험 식별'!$O$6:$O$37,)</f>
        <v>#NAME?</v>
      </c>
      <c r="H17" s="13" t="e">
        <f t="array" aca="1" ref="H17" ca="1">IF(_xludf.XLOOKUP(E17,'2. AI위험 완화 방안 수립'!$E$6:$E$37,'2. AI위험 완화 방안 수립'!$N$6:$N$37,"")="yes",_xludf.XLOOKUP($E17,'2. AI위험 완화 방안 수립'!$E$6:$E$37,'2. AI위험 완화 방안 수립'!$H$6:$H$37,""),"")</f>
        <v>#NAME?</v>
      </c>
      <c r="I17" s="2"/>
      <c r="J17" s="15"/>
      <c r="K17" s="24"/>
      <c r="L17" s="16" t="e">
        <f t="array" aca="1" ref="L17" ca="1">_xludf.IFS(J17="","※ 2. 완화 방안시트를 다시 확인하세요.",K17="","※ 잔여 위험 수준을 평가해주세요.",TRUE,"")</f>
        <v>#NAME?</v>
      </c>
      <c r="M17" s="2"/>
      <c r="N17" s="13" t="s">
        <v>217</v>
      </c>
      <c r="O17" s="13"/>
      <c r="P17" s="16"/>
      <c r="Q17" s="2"/>
      <c r="R17" s="13" t="e">
        <f t="shared" ca="1" si="0"/>
        <v>#NAME?</v>
      </c>
      <c r="S17" s="25">
        <f t="array" ref="S17">IF(O17="Yes",_xludf.IFS(K17="○",100%,K17="△",50%,K17="X",0%,TRUE,0),0)</f>
        <v>0</v>
      </c>
      <c r="T17" s="13" t="e">
        <f t="shared" ca="1" si="1"/>
        <v>#NAME?</v>
      </c>
      <c r="U17" s="2"/>
    </row>
    <row r="18" spans="1:21" ht="30" customHeight="1">
      <c r="A18" s="5"/>
      <c r="B18" s="12">
        <v>12</v>
      </c>
      <c r="C18" s="13" t="s">
        <v>215</v>
      </c>
      <c r="D18" s="13" t="s">
        <v>220</v>
      </c>
      <c r="E18" s="13" t="s">
        <v>221</v>
      </c>
      <c r="F18" s="23" t="e">
        <f t="array" aca="1" ref="F18" ca="1">_xludf.XLOOKUP(E18,'2. AI위험 완화 방안 수립'!$E$6:$E$37,'2. AI위험 완화 방안 수립'!$I$6:$I$37,"")</f>
        <v>#NAME?</v>
      </c>
      <c r="G18" s="13" t="e">
        <f t="array" aca="1" ref="G18" ca="1">_xludf.XLOOKUP($E18,'1. AI위험 식별'!$E$6:$E$37,'1. AI위험 식별'!$O$6:$O$37,)</f>
        <v>#NAME?</v>
      </c>
      <c r="H18" s="13" t="e">
        <f t="array" aca="1" ref="H18" ca="1">IF(_xludf.XLOOKUP(E18,'2. AI위험 완화 방안 수립'!$E$6:$E$37,'2. AI위험 완화 방안 수립'!$N$6:$N$37,"")="yes",_xludf.XLOOKUP($E18,'2. AI위험 완화 방안 수립'!$E$6:$E$37,'2. AI위험 완화 방안 수립'!$H$6:$H$37,""),"")</f>
        <v>#NAME?</v>
      </c>
      <c r="I18" s="2"/>
      <c r="J18" s="15"/>
      <c r="K18" s="24"/>
      <c r="L18" s="16" t="e">
        <f t="array" aca="1" ref="L18" ca="1">_xludf.IFS(J18="","※ 2. 완화 방안시트를 다시 확인하세요.",K18="","※ 잔여 위험 수준을 평가해주세요.",TRUE,"")</f>
        <v>#NAME?</v>
      </c>
      <c r="M18" s="2"/>
      <c r="N18" s="13" t="s">
        <v>211</v>
      </c>
      <c r="O18" s="13"/>
      <c r="P18" s="16"/>
      <c r="Q18" s="2"/>
      <c r="R18" s="13" t="e">
        <f t="shared" ca="1" si="0"/>
        <v>#NAME?</v>
      </c>
      <c r="S18" s="25">
        <f t="array" ref="S18">IF(O18="Yes",_xludf.IFS(K18="○",100%,K18="△",50%,K18="X",0%,TRUE,0),0)</f>
        <v>0</v>
      </c>
      <c r="T18" s="13" t="e">
        <f t="shared" ca="1" si="1"/>
        <v>#NAME?</v>
      </c>
      <c r="U18" s="2"/>
    </row>
    <row r="19" spans="1:21" ht="30" customHeight="1">
      <c r="A19" s="5"/>
      <c r="B19" s="12">
        <v>13</v>
      </c>
      <c r="C19" s="13" t="s">
        <v>215</v>
      </c>
      <c r="D19" s="13" t="s">
        <v>222</v>
      </c>
      <c r="E19" s="13" t="s">
        <v>122</v>
      </c>
      <c r="F19" s="23" t="e">
        <f t="array" aca="1" ref="F19" ca="1">_xludf.XLOOKUP(E19,'2. AI위험 완화 방안 수립'!$E$6:$E$37,'2. AI위험 완화 방안 수립'!$I$6:$I$37,"")</f>
        <v>#NAME?</v>
      </c>
      <c r="G19" s="13" t="e">
        <f t="array" aca="1" ref="G19" ca="1">_xludf.XLOOKUP($E19,'1. AI위험 식별'!$E$6:$E$37,'1. AI위험 식별'!$O$6:$O$37,)</f>
        <v>#NAME?</v>
      </c>
      <c r="H19" s="13" t="e">
        <f t="array" aca="1" ref="H19" ca="1">IF(_xludf.XLOOKUP(E19,'2. AI위험 완화 방안 수립'!$E$6:$E$37,'2. AI위험 완화 방안 수립'!$N$6:$N$37,"")="yes",_xludf.XLOOKUP($E19,'2. AI위험 완화 방안 수립'!$E$6:$E$37,'2. AI위험 완화 방안 수립'!$H$6:$H$37,""),"")</f>
        <v>#NAME?</v>
      </c>
      <c r="I19" s="2"/>
      <c r="J19" s="15"/>
      <c r="K19" s="24"/>
      <c r="L19" s="16" t="e">
        <f t="array" aca="1" ref="L19" ca="1">_xludf.IFS(J19="","※ 2. 완화 방안시트를 다시 확인하세요.",K19="","※ 잔여 위험 수준을 평가해주세요.",TRUE,"")</f>
        <v>#NAME?</v>
      </c>
      <c r="M19" s="2"/>
      <c r="N19" s="13" t="s">
        <v>217</v>
      </c>
      <c r="O19" s="13"/>
      <c r="P19" s="16"/>
      <c r="Q19" s="2"/>
      <c r="R19" s="13" t="e">
        <f t="shared" ca="1" si="0"/>
        <v>#NAME?</v>
      </c>
      <c r="S19" s="25">
        <f t="array" ref="S19">IF(O19="Yes",_xludf.IFS(K19="○",100%,K19="△",50%,K19="X",0%,TRUE,0),0)</f>
        <v>0</v>
      </c>
      <c r="T19" s="13" t="e">
        <f t="shared" ca="1" si="1"/>
        <v>#NAME?</v>
      </c>
      <c r="U19" s="2"/>
    </row>
    <row r="20" spans="1:21" ht="30" customHeight="1">
      <c r="A20" s="5"/>
      <c r="B20" s="12">
        <v>14</v>
      </c>
      <c r="C20" s="13" t="s">
        <v>215</v>
      </c>
      <c r="D20" s="13" t="s">
        <v>222</v>
      </c>
      <c r="E20" s="13" t="s">
        <v>131</v>
      </c>
      <c r="F20" s="23" t="e">
        <f t="array" aca="1" ref="F20" ca="1">_xludf.XLOOKUP(E20,'2. AI위험 완화 방안 수립'!$E$6:$E$37,'2. AI위험 완화 방안 수립'!$I$6:$I$37,"")</f>
        <v>#NAME?</v>
      </c>
      <c r="G20" s="13" t="e">
        <f t="array" aca="1" ref="G20" ca="1">_xludf.XLOOKUP($E20,'1. AI위험 식별'!$E$6:$E$37,'1. AI위험 식별'!$O$6:$O$37,)</f>
        <v>#NAME?</v>
      </c>
      <c r="H20" s="13" t="e">
        <f t="array" aca="1" ref="H20" ca="1">IF(_xludf.XLOOKUP(E20,'2. AI위험 완화 방안 수립'!$E$6:$E$37,'2. AI위험 완화 방안 수립'!$N$6:$N$37,"")="yes",_xludf.XLOOKUP($E20,'2. AI위험 완화 방안 수립'!$E$6:$E$37,'2. AI위험 완화 방안 수립'!$H$6:$H$37,""),"")</f>
        <v>#NAME?</v>
      </c>
      <c r="I20" s="2"/>
      <c r="J20" s="15"/>
      <c r="K20" s="24"/>
      <c r="L20" s="16" t="e">
        <f t="array" aca="1" ref="L20" ca="1">_xludf.IFS(J20="","※ 2. 완화 방안시트를 다시 확인하세요.",K20="","※ 잔여 위험 수준을 평가해주세요.",TRUE,"")</f>
        <v>#NAME?</v>
      </c>
      <c r="M20" s="2"/>
      <c r="N20" s="13" t="s">
        <v>217</v>
      </c>
      <c r="O20" s="13"/>
      <c r="P20" s="16"/>
      <c r="Q20" s="2"/>
      <c r="R20" s="13" t="e">
        <f t="shared" ca="1" si="0"/>
        <v>#NAME?</v>
      </c>
      <c r="S20" s="25">
        <f t="array" ref="S20">IF(O20="Yes",_xludf.IFS(K20="○",100%,K20="△",50%,K20="X",0%,TRUE,0),0)</f>
        <v>0</v>
      </c>
      <c r="T20" s="13" t="e">
        <f t="shared" ca="1" si="1"/>
        <v>#NAME?</v>
      </c>
      <c r="U20" s="2"/>
    </row>
    <row r="21" spans="1:21" ht="30" customHeight="1">
      <c r="A21" s="5"/>
      <c r="B21" s="12">
        <v>15</v>
      </c>
      <c r="C21" s="13" t="s">
        <v>215</v>
      </c>
      <c r="D21" s="13" t="s">
        <v>222</v>
      </c>
      <c r="E21" s="13" t="s">
        <v>141</v>
      </c>
      <c r="F21" s="23" t="e">
        <f t="array" aca="1" ref="F21" ca="1">_xludf.XLOOKUP(E21,'2. AI위험 완화 방안 수립'!$E$6:$E$37,'2. AI위험 완화 방안 수립'!$I$6:$I$37,"")</f>
        <v>#NAME?</v>
      </c>
      <c r="G21" s="13" t="e">
        <f t="array" aca="1" ref="G21" ca="1">_xludf.XLOOKUP($E21,'1. AI위험 식별'!$E$6:$E$37,'1. AI위험 식별'!$O$6:$O$37,)</f>
        <v>#NAME?</v>
      </c>
      <c r="H21" s="13" t="e">
        <f t="array" aca="1" ref="H21" ca="1">IF(_xludf.XLOOKUP(E21,'2. AI위험 완화 방안 수립'!$E$6:$E$37,'2. AI위험 완화 방안 수립'!$N$6:$N$37,"")="yes",_xludf.XLOOKUP($E21,'2. AI위험 완화 방안 수립'!$E$6:$E$37,'2. AI위험 완화 방안 수립'!$H$6:$H$37,""),"")</f>
        <v>#NAME?</v>
      </c>
      <c r="I21" s="2"/>
      <c r="J21" s="15"/>
      <c r="K21" s="24"/>
      <c r="L21" s="16" t="e">
        <f t="array" aca="1" ref="L21" ca="1">_xludf.IFS(J21="","※ 2. 완화 방안시트를 다시 확인하세요.",K21="","※ 잔여 위험 수준을 평가해주세요.",TRUE,"")</f>
        <v>#NAME?</v>
      </c>
      <c r="M21" s="2"/>
      <c r="N21" s="13" t="s">
        <v>217</v>
      </c>
      <c r="O21" s="13"/>
      <c r="P21" s="16"/>
      <c r="Q21" s="2"/>
      <c r="R21" s="13" t="e">
        <f t="shared" ca="1" si="0"/>
        <v>#NAME?</v>
      </c>
      <c r="S21" s="25">
        <f t="array" ref="S21">IF(O21="Yes",_xludf.IFS(K21="○",100%,K21="△",50%,K21="X",0%,TRUE,0),0)</f>
        <v>0</v>
      </c>
      <c r="T21" s="13" t="e">
        <f t="shared" ca="1" si="1"/>
        <v>#NAME?</v>
      </c>
      <c r="U21" s="2"/>
    </row>
    <row r="22" spans="1:21" ht="30" customHeight="1">
      <c r="A22" s="5"/>
      <c r="B22" s="12">
        <v>16</v>
      </c>
      <c r="C22" s="13" t="s">
        <v>215</v>
      </c>
      <c r="D22" s="13" t="s">
        <v>222</v>
      </c>
      <c r="E22" s="13" t="s">
        <v>151</v>
      </c>
      <c r="F22" s="23" t="e">
        <f t="array" aca="1" ref="F22" ca="1">_xludf.XLOOKUP(E22,'2. AI위험 완화 방안 수립'!$E$6:$E$37,'2. AI위험 완화 방안 수립'!$I$6:$I$37,"")</f>
        <v>#NAME?</v>
      </c>
      <c r="G22" s="13" t="e">
        <f t="array" aca="1" ref="G22" ca="1">_xludf.XLOOKUP($E22,'1. AI위험 식별'!$E$6:$E$37,'1. AI위험 식별'!$O$6:$O$37,)</f>
        <v>#NAME?</v>
      </c>
      <c r="H22" s="13" t="e">
        <f t="array" aca="1" ref="H22" ca="1">IF(_xludf.XLOOKUP(E22,'2. AI위험 완화 방안 수립'!$E$6:$E$37,'2. AI위험 완화 방안 수립'!$N$6:$N$37,"")="yes",_xludf.XLOOKUP($E22,'2. AI위험 완화 방안 수립'!$E$6:$E$37,'2. AI위험 완화 방안 수립'!$H$6:$H$37,""),"")</f>
        <v>#NAME?</v>
      </c>
      <c r="I22" s="2"/>
      <c r="J22" s="15"/>
      <c r="K22" s="24"/>
      <c r="L22" s="16" t="e">
        <f t="array" aca="1" ref="L22" ca="1">_xludf.IFS(J22="","※ 2. 완화 방안시트를 다시 확인하세요.",K22="","※ 잔여 위험 수준을 평가해주세요.",TRUE,"")</f>
        <v>#NAME?</v>
      </c>
      <c r="M22" s="2"/>
      <c r="N22" s="13" t="s">
        <v>211</v>
      </c>
      <c r="O22" s="13"/>
      <c r="P22" s="16"/>
      <c r="Q22" s="2"/>
      <c r="R22" s="13" t="e">
        <f t="shared" ca="1" si="0"/>
        <v>#NAME?</v>
      </c>
      <c r="S22" s="25">
        <f t="array" ref="S22">IF(O22="Yes",_xludf.IFS(K22="○",100%,K22="△",50%,K22="X",0%,TRUE,0),0)</f>
        <v>0</v>
      </c>
      <c r="T22" s="13" t="e">
        <f t="shared" ca="1" si="1"/>
        <v>#NAME?</v>
      </c>
      <c r="U22" s="2"/>
    </row>
    <row r="23" spans="1:21" ht="30" customHeight="1">
      <c r="A23" s="5"/>
      <c r="B23" s="12">
        <v>17</v>
      </c>
      <c r="C23" s="13" t="s">
        <v>215</v>
      </c>
      <c r="D23" s="13" t="s">
        <v>222</v>
      </c>
      <c r="E23" s="13" t="s">
        <v>161</v>
      </c>
      <c r="F23" s="23" t="e">
        <f t="array" aca="1" ref="F23" ca="1">_xludf.XLOOKUP(E23,'2. AI위험 완화 방안 수립'!$E$6:$E$37,'2. AI위험 완화 방안 수립'!$I$6:$I$37,"")</f>
        <v>#NAME?</v>
      </c>
      <c r="G23" s="13" t="e">
        <f t="array" aca="1" ref="G23" ca="1">_xludf.XLOOKUP($E23,'1. AI위험 식별'!$E$6:$E$37,'1. AI위험 식별'!$O$6:$O$37,)</f>
        <v>#NAME?</v>
      </c>
      <c r="H23" s="13" t="e">
        <f t="array" aca="1" ref="H23" ca="1">IF(_xludf.XLOOKUP(E23,'2. AI위험 완화 방안 수립'!$E$6:$E$37,'2. AI위험 완화 방안 수립'!$N$6:$N$37,"")="yes",_xludf.XLOOKUP($E23,'2. AI위험 완화 방안 수립'!$E$6:$E$37,'2. AI위험 완화 방안 수립'!$H$6:$H$37,""),"")</f>
        <v>#NAME?</v>
      </c>
      <c r="I23" s="2"/>
      <c r="J23" s="15"/>
      <c r="K23" s="24"/>
      <c r="L23" s="16" t="e">
        <f t="array" aca="1" ref="L23" ca="1">_xludf.IFS(J23="","※ 2. 완화 방안시트를 다시 확인하세요.",K23="","※ 잔여 위험 수준을 평가해주세요.",TRUE,"")</f>
        <v>#NAME?</v>
      </c>
      <c r="M23" s="2"/>
      <c r="N23" s="13" t="s">
        <v>211</v>
      </c>
      <c r="O23" s="13"/>
      <c r="P23" s="16"/>
      <c r="Q23" s="2"/>
      <c r="R23" s="13" t="e">
        <f t="shared" ca="1" si="0"/>
        <v>#NAME?</v>
      </c>
      <c r="S23" s="25">
        <f t="array" ref="S23">IF(O23="Yes",_xludf.IFS(K23="○",100%,K23="△",50%,K23="X",0%,TRUE,0),0)</f>
        <v>0</v>
      </c>
      <c r="T23" s="13" t="e">
        <f t="shared" ca="1" si="1"/>
        <v>#NAME?</v>
      </c>
      <c r="U23" s="2"/>
    </row>
    <row r="24" spans="1:21" ht="30" customHeight="1">
      <c r="A24" s="5"/>
      <c r="B24" s="12">
        <v>18</v>
      </c>
      <c r="C24" s="13" t="s">
        <v>223</v>
      </c>
      <c r="D24" s="13" t="s">
        <v>224</v>
      </c>
      <c r="E24" s="13" t="s">
        <v>170</v>
      </c>
      <c r="F24" s="23" t="e">
        <f t="array" aca="1" ref="F24" ca="1">_xludf.XLOOKUP(E24,'2. AI위험 완화 방안 수립'!$E$6:$E$37,'2. AI위험 완화 방안 수립'!$I$6:$I$37,"")</f>
        <v>#NAME?</v>
      </c>
      <c r="G24" s="13" t="e">
        <f t="array" aca="1" ref="G24" ca="1">_xludf.XLOOKUP($E24,'1. AI위험 식별'!$E$6:$E$37,'1. AI위험 식별'!$O$6:$O$37,)</f>
        <v>#NAME?</v>
      </c>
      <c r="H24" s="13" t="e">
        <f t="array" aca="1" ref="H24" ca="1">IF(_xludf.XLOOKUP(E24,'2. AI위험 완화 방안 수립'!$E$6:$E$37,'2. AI위험 완화 방안 수립'!$N$6:$N$37,"")="yes",_xludf.XLOOKUP($E24,'2. AI위험 완화 방안 수립'!$E$6:$E$37,'2. AI위험 완화 방안 수립'!$H$6:$H$37,""),"")</f>
        <v>#NAME?</v>
      </c>
      <c r="I24" s="2"/>
      <c r="J24" s="15"/>
      <c r="K24" s="24"/>
      <c r="L24" s="16" t="e">
        <f t="array" aca="1" ref="L24" ca="1">_xludf.IFS(J24="","※ 2. 완화 방안시트를 다시 확인하세요.",K24="","※ 잔여 위험 수준을 평가해주세요.",TRUE,"")</f>
        <v>#NAME?</v>
      </c>
      <c r="M24" s="2"/>
      <c r="N24" s="13" t="s">
        <v>211</v>
      </c>
      <c r="O24" s="13"/>
      <c r="P24" s="16"/>
      <c r="Q24" s="2"/>
      <c r="R24" s="13" t="e">
        <f t="shared" ca="1" si="0"/>
        <v>#NAME?</v>
      </c>
      <c r="S24" s="25">
        <f t="array" ref="S24">IF(O24="Yes",_xludf.IFS(K24="○",100%,K24="△",50%,K24="X",0%,TRUE,0),0)</f>
        <v>0</v>
      </c>
      <c r="T24" s="13" t="e">
        <f t="shared" ca="1" si="1"/>
        <v>#NAME?</v>
      </c>
      <c r="U24" s="2"/>
    </row>
    <row r="25" spans="1:21" ht="30" customHeight="1">
      <c r="A25" s="5"/>
      <c r="B25" s="12">
        <v>19</v>
      </c>
      <c r="C25" s="13" t="s">
        <v>223</v>
      </c>
      <c r="D25" s="13" t="s">
        <v>225</v>
      </c>
      <c r="E25" s="13" t="s">
        <v>180</v>
      </c>
      <c r="F25" s="23" t="e">
        <f t="array" aca="1" ref="F25" ca="1">_xludf.XLOOKUP(E25,'2. AI위험 완화 방안 수립'!$E$6:$E$37,'2. AI위험 완화 방안 수립'!$I$6:$I$37,"")</f>
        <v>#NAME?</v>
      </c>
      <c r="G25" s="13" t="e">
        <f t="array" aca="1" ref="G25" ca="1">_xludf.XLOOKUP($E25,'1. AI위험 식별'!$E$6:$E$37,'1. AI위험 식별'!$O$6:$O$37,)</f>
        <v>#NAME?</v>
      </c>
      <c r="H25" s="13" t="e">
        <f t="array" aca="1" ref="H25" ca="1">IF(_xludf.XLOOKUP(E25,'2. AI위험 완화 방안 수립'!$E$6:$E$37,'2. AI위험 완화 방안 수립'!$N$6:$N$37,"")="yes",_xludf.XLOOKUP($E25,'2. AI위험 완화 방안 수립'!$E$6:$E$37,'2. AI위험 완화 방안 수립'!$H$6:$H$37,""),"")</f>
        <v>#NAME?</v>
      </c>
      <c r="I25" s="2"/>
      <c r="J25" s="15"/>
      <c r="K25" s="24"/>
      <c r="L25" s="16" t="e">
        <f t="array" aca="1" ref="L25" ca="1">_xludf.IFS(J25="","※ 2. 완화 방안시트를 다시 확인하세요.",K25="","※ 잔여 위험 수준을 평가해주세요.",TRUE,"")</f>
        <v>#NAME?</v>
      </c>
      <c r="M25" s="2"/>
      <c r="N25" s="13" t="s">
        <v>211</v>
      </c>
      <c r="O25" s="13"/>
      <c r="P25" s="16"/>
      <c r="Q25" s="2"/>
      <c r="R25" s="13" t="e">
        <f t="shared" ca="1" si="0"/>
        <v>#NAME?</v>
      </c>
      <c r="S25" s="25">
        <f t="array" ref="S25">IF(O25="Yes",_xludf.IFS(K25="○",100%,K25="△",50%,K25="X",0%,TRUE,0),0)</f>
        <v>0</v>
      </c>
      <c r="T25" s="13" t="e">
        <f t="shared" ca="1" si="1"/>
        <v>#NAME?</v>
      </c>
      <c r="U25" s="2"/>
    </row>
    <row r="26" spans="1:21" ht="30" customHeight="1">
      <c r="A26" s="5"/>
      <c r="B26" s="12">
        <v>20</v>
      </c>
      <c r="C26" s="13" t="s">
        <v>223</v>
      </c>
      <c r="D26" s="13" t="s">
        <v>226</v>
      </c>
      <c r="E26" s="13" t="s">
        <v>73</v>
      </c>
      <c r="F26" s="23" t="e">
        <f t="array" aca="1" ref="F26" ca="1">_xludf.XLOOKUP(E26,'2. AI위험 완화 방안 수립'!$E$6:$E$37,'2. AI위험 완화 방안 수립'!$I$6:$I$37,"")</f>
        <v>#NAME?</v>
      </c>
      <c r="G26" s="13" t="e">
        <f t="array" aca="1" ref="G26" ca="1">_xludf.XLOOKUP($E26,'1. AI위험 식별'!$E$6:$E$37,'1. AI위험 식별'!$O$6:$O$37,)</f>
        <v>#NAME?</v>
      </c>
      <c r="H26" s="13" t="e">
        <f t="array" aca="1" ref="H26" ca="1">IF(_xludf.XLOOKUP(E26,'2. AI위험 완화 방안 수립'!$E$6:$E$37,'2. AI위험 완화 방안 수립'!$N$6:$N$37,"")="yes",_xludf.XLOOKUP($E26,'2. AI위험 완화 방안 수립'!$E$6:$E$37,'2. AI위험 완화 방안 수립'!$H$6:$H$37,""),"")</f>
        <v>#NAME?</v>
      </c>
      <c r="I26" s="2"/>
      <c r="J26" s="15"/>
      <c r="K26" s="24"/>
      <c r="L26" s="16" t="e">
        <f t="array" aca="1" ref="L26" ca="1">_xludf.IFS(J26="","※ 2. 완화 방안시트를 다시 확인하세요.",K26="","※ 잔여 위험 수준을 평가해주세요.",TRUE,"")</f>
        <v>#NAME?</v>
      </c>
      <c r="M26" s="2"/>
      <c r="N26" s="13" t="s">
        <v>211</v>
      </c>
      <c r="O26" s="13"/>
      <c r="P26" s="16"/>
      <c r="Q26" s="2"/>
      <c r="R26" s="13" t="e">
        <f t="shared" ca="1" si="0"/>
        <v>#NAME?</v>
      </c>
      <c r="S26" s="25">
        <f t="array" ref="S26">IF(O26="Yes",_xludf.IFS(K26="○",100%,K26="△",50%,K26="X",0%,TRUE,0),0)</f>
        <v>0</v>
      </c>
      <c r="T26" s="13" t="e">
        <f t="shared" ca="1" si="1"/>
        <v>#NAME?</v>
      </c>
      <c r="U26" s="2"/>
    </row>
    <row r="27" spans="1:21" ht="30" customHeight="1">
      <c r="A27" s="5"/>
      <c r="B27" s="12">
        <v>21</v>
      </c>
      <c r="C27" s="13" t="s">
        <v>223</v>
      </c>
      <c r="D27" s="13" t="s">
        <v>226</v>
      </c>
      <c r="E27" s="13" t="s">
        <v>83</v>
      </c>
      <c r="F27" s="23" t="e">
        <f t="array" aca="1" ref="F27" ca="1">_xludf.XLOOKUP(E27,'2. AI위험 완화 방안 수립'!$E$6:$E$37,'2. AI위험 완화 방안 수립'!$I$6:$I$37,"")</f>
        <v>#NAME?</v>
      </c>
      <c r="G27" s="13" t="e">
        <f t="array" aca="1" ref="G27" ca="1">_xludf.XLOOKUP($E27,'1. AI위험 식별'!$E$6:$E$37,'1. AI위험 식별'!$O$6:$O$37,)</f>
        <v>#NAME?</v>
      </c>
      <c r="H27" s="13" t="e">
        <f t="array" aca="1" ref="H27" ca="1">IF(_xludf.XLOOKUP(E27,'2. AI위험 완화 방안 수립'!$E$6:$E$37,'2. AI위험 완화 방안 수립'!$N$6:$N$37,"")="yes",_xludf.XLOOKUP($E27,'2. AI위험 완화 방안 수립'!$E$6:$E$37,'2. AI위험 완화 방안 수립'!$H$6:$H$37,""),"")</f>
        <v>#NAME?</v>
      </c>
      <c r="I27" s="2"/>
      <c r="J27" s="15"/>
      <c r="K27" s="24"/>
      <c r="L27" s="16" t="e">
        <f t="array" aca="1" ref="L27" ca="1">_xludf.IFS(J27="","※ 2. 완화 방안시트를 다시 확인하세요.",K27="","※ 잔여 위험 수준을 평가해주세요.",TRUE,"")</f>
        <v>#NAME?</v>
      </c>
      <c r="M27" s="2"/>
      <c r="N27" s="13" t="s">
        <v>211</v>
      </c>
      <c r="O27" s="13"/>
      <c r="P27" s="16"/>
      <c r="Q27" s="2"/>
      <c r="R27" s="13" t="e">
        <f t="shared" ca="1" si="0"/>
        <v>#NAME?</v>
      </c>
      <c r="S27" s="25">
        <f t="array" ref="S27">IF(O27="Yes",_xludf.IFS(K27="○",100%,K27="△",50%,K27="X",0%,TRUE,0),0)</f>
        <v>0</v>
      </c>
      <c r="T27" s="13" t="e">
        <f t="shared" ca="1" si="1"/>
        <v>#NAME?</v>
      </c>
      <c r="U27" s="2"/>
    </row>
    <row r="28" spans="1:21" ht="30" customHeight="1">
      <c r="A28" s="5"/>
      <c r="B28" s="12">
        <v>22</v>
      </c>
      <c r="C28" s="13" t="s">
        <v>227</v>
      </c>
      <c r="D28" s="13" t="s">
        <v>228</v>
      </c>
      <c r="E28" s="13" t="s">
        <v>229</v>
      </c>
      <c r="F28" s="23" t="e">
        <f t="array" aca="1" ref="F28" ca="1">_xludf.XLOOKUP(E28,'2. AI위험 완화 방안 수립'!$E$6:$E$37,'2. AI위험 완화 방안 수립'!$I$6:$I$37,"")</f>
        <v>#NAME?</v>
      </c>
      <c r="G28" s="13" t="e">
        <f t="array" aca="1" ref="G28" ca="1">_xludf.XLOOKUP($E28,'1. AI위험 식별'!$E$6:$E$37,'1. AI위험 식별'!$O$6:$O$37,)</f>
        <v>#NAME?</v>
      </c>
      <c r="H28" s="13" t="e">
        <f t="array" aca="1" ref="H28" ca="1">IF(_xludf.XLOOKUP(E28,'2. AI위험 완화 방안 수립'!$E$6:$E$37,'2. AI위험 완화 방안 수립'!$N$6:$N$37,"")="yes",_xludf.XLOOKUP($E28,'2. AI위험 완화 방안 수립'!$E$6:$E$37,'2. AI위험 완화 방안 수립'!$H$6:$H$37,""),"")</f>
        <v>#NAME?</v>
      </c>
      <c r="I28" s="2"/>
      <c r="J28" s="15"/>
      <c r="K28" s="24"/>
      <c r="L28" s="16" t="e">
        <f t="array" aca="1" ref="L28" ca="1">_xludf.IFS(J28="","※ 2. 완화 방안시트를 다시 확인하세요.",K28="","※ 잔여 위험 수준을 평가해주세요.",TRUE,"")</f>
        <v>#NAME?</v>
      </c>
      <c r="M28" s="2"/>
      <c r="N28" s="13" t="s">
        <v>217</v>
      </c>
      <c r="O28" s="13"/>
      <c r="P28" s="16"/>
      <c r="Q28" s="2"/>
      <c r="R28" s="13" t="e">
        <f t="shared" ca="1" si="0"/>
        <v>#NAME?</v>
      </c>
      <c r="S28" s="25">
        <f t="array" ref="S28">IF(O28="Yes",_xludf.IFS(K28="○",100%,K28="△",50%,K28="X",0%,TRUE,0),0)</f>
        <v>0</v>
      </c>
      <c r="T28" s="13" t="e">
        <f t="shared" ca="1" si="1"/>
        <v>#NAME?</v>
      </c>
      <c r="U28" s="2"/>
    </row>
    <row r="29" spans="1:21" ht="30" customHeight="1">
      <c r="A29" s="5"/>
      <c r="B29" s="12">
        <v>23</v>
      </c>
      <c r="C29" s="13" t="s">
        <v>227</v>
      </c>
      <c r="D29" s="13" t="s">
        <v>228</v>
      </c>
      <c r="E29" s="13" t="s">
        <v>230</v>
      </c>
      <c r="F29" s="23" t="e">
        <f t="array" aca="1" ref="F29" ca="1">_xludf.XLOOKUP(E29,'2. AI위험 완화 방안 수립'!$E$6:$E$37,'2. AI위험 완화 방안 수립'!$I$6:$I$37,"")</f>
        <v>#NAME?</v>
      </c>
      <c r="G29" s="13" t="e">
        <f t="array" aca="1" ref="G29" ca="1">_xludf.XLOOKUP($E29,'1. AI위험 식별'!$E$6:$E$37,'1. AI위험 식별'!$O$6:$O$37,)</f>
        <v>#NAME?</v>
      </c>
      <c r="H29" s="13" t="e">
        <f t="array" aca="1" ref="H29" ca="1">IF(_xludf.XLOOKUP(E29,'2. AI위험 완화 방안 수립'!$E$6:$E$37,'2. AI위험 완화 방안 수립'!$N$6:$N$37,"")="yes",_xludf.XLOOKUP($E29,'2. AI위험 완화 방안 수립'!$E$6:$E$37,'2. AI위험 완화 방안 수립'!$H$6:$H$37,""),"")</f>
        <v>#NAME?</v>
      </c>
      <c r="I29" s="2"/>
      <c r="J29" s="15"/>
      <c r="K29" s="24"/>
      <c r="L29" s="16" t="e">
        <f t="array" aca="1" ref="L29" ca="1">_xludf.IFS(J29="","※ 2. 완화 방안시트를 다시 확인하세요.",K29="","※ 잔여 위험 수준을 평가해주세요.",TRUE,"")</f>
        <v>#NAME?</v>
      </c>
      <c r="M29" s="2"/>
      <c r="N29" s="13" t="s">
        <v>217</v>
      </c>
      <c r="O29" s="13"/>
      <c r="P29" s="16"/>
      <c r="Q29" s="2"/>
      <c r="R29" s="13" t="e">
        <f t="shared" ca="1" si="0"/>
        <v>#NAME?</v>
      </c>
      <c r="S29" s="25">
        <f t="array" ref="S29">IF(O29="Yes",_xludf.IFS(K29="○",100%,K29="△",50%,K29="X",0%,TRUE,0),0)</f>
        <v>0</v>
      </c>
      <c r="T29" s="13" t="e">
        <f t="shared" ca="1" si="1"/>
        <v>#NAME?</v>
      </c>
      <c r="U29" s="2"/>
    </row>
    <row r="30" spans="1:21" ht="30" customHeight="1">
      <c r="A30" s="5"/>
      <c r="B30" s="12">
        <v>24</v>
      </c>
      <c r="C30" s="13" t="s">
        <v>227</v>
      </c>
      <c r="D30" s="13" t="s">
        <v>228</v>
      </c>
      <c r="E30" s="13" t="s">
        <v>231</v>
      </c>
      <c r="F30" s="23" t="e">
        <f t="array" aca="1" ref="F30" ca="1">_xludf.XLOOKUP(E30,'2. AI위험 완화 방안 수립'!$E$6:$E$37,'2. AI위험 완화 방안 수립'!$I$6:$I$37,"")</f>
        <v>#NAME?</v>
      </c>
      <c r="G30" s="13" t="e">
        <f t="array" aca="1" ref="G30" ca="1">_xludf.XLOOKUP($E30,'1. AI위험 식별'!$E$6:$E$37,'1. AI위험 식별'!$O$6:$O$37,)</f>
        <v>#NAME?</v>
      </c>
      <c r="H30" s="13" t="e">
        <f t="array" aca="1" ref="H30" ca="1">IF(_xludf.XLOOKUP(E30,'2. AI위험 완화 방안 수립'!$E$6:$E$37,'2. AI위험 완화 방안 수립'!$N$6:$N$37,"")="yes",_xludf.XLOOKUP($E30,'2. AI위험 완화 방안 수립'!$E$6:$E$37,'2. AI위험 완화 방안 수립'!$H$6:$H$37,""),"")</f>
        <v>#NAME?</v>
      </c>
      <c r="I30" s="2"/>
      <c r="J30" s="15"/>
      <c r="K30" s="24"/>
      <c r="L30" s="16" t="e">
        <f t="array" aca="1" ref="L30" ca="1">_xludf.IFS(J30="","※ 2. 완화 방안시트를 다시 확인하세요.",K30="","※ 잔여 위험 수준을 평가해주세요.",TRUE,"")</f>
        <v>#NAME?</v>
      </c>
      <c r="M30" s="2"/>
      <c r="N30" s="13" t="s">
        <v>211</v>
      </c>
      <c r="O30" s="13"/>
      <c r="P30" s="16"/>
      <c r="Q30" s="2"/>
      <c r="R30" s="13" t="e">
        <f t="shared" ca="1" si="0"/>
        <v>#NAME?</v>
      </c>
      <c r="S30" s="25">
        <f t="array" ref="S30">IF(O30="Yes",_xludf.IFS(K30="○",100%,K30="△",50%,K30="X",0%,TRUE,0),0)</f>
        <v>0</v>
      </c>
      <c r="T30" s="13" t="e">
        <f t="shared" ca="1" si="1"/>
        <v>#NAME?</v>
      </c>
      <c r="U30" s="2"/>
    </row>
    <row r="31" spans="1:21" ht="30" customHeight="1">
      <c r="A31" s="5"/>
      <c r="B31" s="12">
        <v>25</v>
      </c>
      <c r="C31" s="13" t="s">
        <v>227</v>
      </c>
      <c r="D31" s="13" t="s">
        <v>228</v>
      </c>
      <c r="E31" s="13" t="s">
        <v>232</v>
      </c>
      <c r="F31" s="23" t="e">
        <f t="array" aca="1" ref="F31" ca="1">_xludf.XLOOKUP(E31,'2. AI위험 완화 방안 수립'!$E$6:$E$37,'2. AI위험 완화 방안 수립'!$I$6:$I$37,"")</f>
        <v>#NAME?</v>
      </c>
      <c r="G31" s="13" t="e">
        <f t="array" aca="1" ref="G31" ca="1">_xludf.XLOOKUP($E31,'1. AI위험 식별'!$E$6:$E$37,'1. AI위험 식별'!$O$6:$O$37,)</f>
        <v>#NAME?</v>
      </c>
      <c r="H31" s="13" t="e">
        <f t="array" aca="1" ref="H31" ca="1">IF(_xludf.XLOOKUP(E31,'2. AI위험 완화 방안 수립'!$E$6:$E$37,'2. AI위험 완화 방안 수립'!$N$6:$N$37,"")="yes",_xludf.XLOOKUP($E31,'2. AI위험 완화 방안 수립'!$E$6:$E$37,'2. AI위험 완화 방안 수립'!$H$6:$H$37,""),"")</f>
        <v>#NAME?</v>
      </c>
      <c r="I31" s="2"/>
      <c r="J31" s="15"/>
      <c r="K31" s="24"/>
      <c r="L31" s="16" t="e">
        <f t="array" aca="1" ref="L31" ca="1">_xludf.IFS(J31="","※ 2. 완화 방안시트를 다시 확인하세요.",K31="","※ 잔여 위험 수준을 평가해주세요.",TRUE,"")</f>
        <v>#NAME?</v>
      </c>
      <c r="M31" s="2"/>
      <c r="N31" s="13" t="s">
        <v>217</v>
      </c>
      <c r="O31" s="13"/>
      <c r="P31" s="16"/>
      <c r="Q31" s="2"/>
      <c r="R31" s="13" t="e">
        <f t="shared" ca="1" si="0"/>
        <v>#NAME?</v>
      </c>
      <c r="S31" s="25">
        <f t="array" ref="S31">IF(O31="Yes",_xludf.IFS(K31="○",100%,K31="△",50%,K31="X",0%,TRUE,0),0)</f>
        <v>0</v>
      </c>
      <c r="T31" s="13" t="e">
        <f t="shared" ca="1" si="1"/>
        <v>#NAME?</v>
      </c>
      <c r="U31" s="2"/>
    </row>
    <row r="32" spans="1:21" ht="30" customHeight="1">
      <c r="A32" s="5"/>
      <c r="B32" s="12">
        <v>26</v>
      </c>
      <c r="C32" s="13" t="s">
        <v>227</v>
      </c>
      <c r="D32" s="13" t="s">
        <v>228</v>
      </c>
      <c r="E32" s="13" t="s">
        <v>233</v>
      </c>
      <c r="F32" s="23" t="e">
        <f t="array" aca="1" ref="F32" ca="1">_xludf.XLOOKUP(E32,'2. AI위험 완화 방안 수립'!$E$6:$E$37,'2. AI위험 완화 방안 수립'!$I$6:$I$37,"")</f>
        <v>#NAME?</v>
      </c>
      <c r="G32" s="13" t="e">
        <f t="array" aca="1" ref="G32" ca="1">_xludf.XLOOKUP($E32,'1. AI위험 식별'!$E$6:$E$37,'1. AI위험 식별'!$O$6:$O$37,)</f>
        <v>#NAME?</v>
      </c>
      <c r="H32" s="13" t="e">
        <f t="array" aca="1" ref="H32" ca="1">IF(_xludf.XLOOKUP(E32,'2. AI위험 완화 방안 수립'!$E$6:$E$37,'2. AI위험 완화 방안 수립'!$N$6:$N$37,"")="yes",_xludf.XLOOKUP($E32,'2. AI위험 완화 방안 수립'!$E$6:$E$37,'2. AI위험 완화 방안 수립'!$H$6:$H$37,""),"")</f>
        <v>#NAME?</v>
      </c>
      <c r="I32" s="2"/>
      <c r="J32" s="15"/>
      <c r="K32" s="24"/>
      <c r="L32" s="16" t="e">
        <f t="array" aca="1" ref="L32" ca="1">_xludf.IFS(J32="","※ 2. 완화 방안시트를 다시 확인하세요.",K32="","※ 잔여 위험 수준을 평가해주세요.",TRUE,"")</f>
        <v>#NAME?</v>
      </c>
      <c r="M32" s="2"/>
      <c r="N32" s="13" t="s">
        <v>211</v>
      </c>
      <c r="O32" s="13"/>
      <c r="P32" s="16"/>
      <c r="Q32" s="2"/>
      <c r="R32" s="13" t="e">
        <f t="shared" ca="1" si="0"/>
        <v>#NAME?</v>
      </c>
      <c r="S32" s="25">
        <f t="array" ref="S32">IF(O32="Yes",_xludf.IFS(K32="○",100%,K32="△",50%,K32="X",0%,TRUE,0),0)</f>
        <v>0</v>
      </c>
      <c r="T32" s="13" t="e">
        <f t="shared" ca="1" si="1"/>
        <v>#NAME?</v>
      </c>
      <c r="U32" s="2"/>
    </row>
    <row r="33" spans="1:21" ht="30" customHeight="1">
      <c r="A33" s="5"/>
      <c r="B33" s="12">
        <v>27</v>
      </c>
      <c r="C33" s="13" t="s">
        <v>227</v>
      </c>
      <c r="D33" s="13" t="s">
        <v>234</v>
      </c>
      <c r="E33" s="13" t="s">
        <v>235</v>
      </c>
      <c r="F33" s="23" t="e">
        <f t="array" aca="1" ref="F33" ca="1">_xludf.XLOOKUP(E33,'2. AI위험 완화 방안 수립'!$E$6:$E$37,'2. AI위험 완화 방안 수립'!$I$6:$I$37,"")</f>
        <v>#NAME?</v>
      </c>
      <c r="G33" s="13" t="e">
        <f t="array" aca="1" ref="G33" ca="1">_xludf.XLOOKUP($E33,'1. AI위험 식별'!$E$6:$E$37,'1. AI위험 식별'!$O$6:$O$37,)</f>
        <v>#NAME?</v>
      </c>
      <c r="H33" s="13" t="e">
        <f t="array" aca="1" ref="H33" ca="1">IF(_xludf.XLOOKUP(E33,'2. AI위험 완화 방안 수립'!$E$6:$E$37,'2. AI위험 완화 방안 수립'!$N$6:$N$37,"")="yes",_xludf.XLOOKUP($E33,'2. AI위험 완화 방안 수립'!$E$6:$E$37,'2. AI위험 완화 방안 수립'!$H$6:$H$37,""),"")</f>
        <v>#NAME?</v>
      </c>
      <c r="I33" s="2"/>
      <c r="J33" s="15"/>
      <c r="K33" s="24"/>
      <c r="L33" s="16" t="e">
        <f t="array" aca="1" ref="L33" ca="1">_xludf.IFS(J33="","※ 2. 완화 방안시트를 다시 확인하세요.",K33="","※ 잔여 위험 수준을 평가해주세요.",TRUE,"")</f>
        <v>#NAME?</v>
      </c>
      <c r="M33" s="2"/>
      <c r="N33" s="13" t="s">
        <v>217</v>
      </c>
      <c r="O33" s="13"/>
      <c r="P33" s="16"/>
      <c r="Q33" s="2"/>
      <c r="R33" s="13" t="e">
        <f t="shared" ca="1" si="0"/>
        <v>#NAME?</v>
      </c>
      <c r="S33" s="25">
        <f t="array" ref="S33">IF(O33="Yes",_xludf.IFS(K33="○",100%,K33="△",50%,K33="X",0%,TRUE,0),0)</f>
        <v>0</v>
      </c>
      <c r="T33" s="13" t="e">
        <f t="shared" ca="1" si="1"/>
        <v>#NAME?</v>
      </c>
      <c r="U33" s="2"/>
    </row>
    <row r="34" spans="1:21" ht="30" customHeight="1">
      <c r="A34" s="5"/>
      <c r="B34" s="12">
        <v>28</v>
      </c>
      <c r="C34" s="13" t="s">
        <v>227</v>
      </c>
      <c r="D34" s="13" t="s">
        <v>236</v>
      </c>
      <c r="E34" s="13" t="s">
        <v>237</v>
      </c>
      <c r="F34" s="23" t="e">
        <f t="array" aca="1" ref="F34" ca="1">_xludf.XLOOKUP(E34,'2. AI위험 완화 방안 수립'!$E$6:$E$37,'2. AI위험 완화 방안 수립'!$I$6:$I$37,"")</f>
        <v>#NAME?</v>
      </c>
      <c r="G34" s="13" t="e">
        <f t="array" aca="1" ref="G34" ca="1">_xludf.XLOOKUP($E34,'1. AI위험 식별'!$E$6:$E$37,'1. AI위험 식별'!$O$6:$O$37,)</f>
        <v>#NAME?</v>
      </c>
      <c r="H34" s="13" t="e">
        <f t="array" aca="1" ref="H34" ca="1">IF(_xludf.XLOOKUP(E34,'2. AI위험 완화 방안 수립'!$E$6:$E$37,'2. AI위험 완화 방안 수립'!$N$6:$N$37,"")="yes",_xludf.XLOOKUP($E34,'2. AI위험 완화 방안 수립'!$E$6:$E$37,'2. AI위험 완화 방안 수립'!$H$6:$H$37,""),"")</f>
        <v>#NAME?</v>
      </c>
      <c r="I34" s="2"/>
      <c r="J34" s="15"/>
      <c r="K34" s="24"/>
      <c r="L34" s="16" t="e">
        <f t="array" aca="1" ref="L34" ca="1">_xludf.IFS(J34="","※ 2. 완화 방안시트를 다시 확인하세요.",K34="","※ 잔여 위험 수준을 평가해주세요.",TRUE,"")</f>
        <v>#NAME?</v>
      </c>
      <c r="M34" s="2"/>
      <c r="N34" s="13" t="s">
        <v>211</v>
      </c>
      <c r="O34" s="13"/>
      <c r="P34" s="16"/>
      <c r="Q34" s="2"/>
      <c r="R34" s="13" t="e">
        <f t="shared" ca="1" si="0"/>
        <v>#NAME?</v>
      </c>
      <c r="S34" s="25">
        <f t="array" ref="S34">IF(O34="Yes",_xludf.IFS(K34="○",100%,K34="△",50%,K34="X",0%,TRUE,0),0)</f>
        <v>0</v>
      </c>
      <c r="T34" s="13" t="e">
        <f t="shared" ca="1" si="1"/>
        <v>#NAME?</v>
      </c>
      <c r="U34" s="2"/>
    </row>
    <row r="35" spans="1:21" ht="30" customHeight="1">
      <c r="A35" s="5"/>
      <c r="B35" s="12">
        <v>29</v>
      </c>
      <c r="C35" s="13" t="s">
        <v>227</v>
      </c>
      <c r="D35" s="13" t="s">
        <v>236</v>
      </c>
      <c r="E35" s="13" t="s">
        <v>238</v>
      </c>
      <c r="F35" s="23" t="e">
        <f t="array" aca="1" ref="F35" ca="1">_xludf.XLOOKUP(E35,'2. AI위험 완화 방안 수립'!$E$6:$E$37,'2. AI위험 완화 방안 수립'!$I$6:$I$37,"")</f>
        <v>#NAME?</v>
      </c>
      <c r="G35" s="13" t="e">
        <f t="array" aca="1" ref="G35" ca="1">_xludf.XLOOKUP($E35,'1. AI위험 식별'!$E$6:$E$37,'1. AI위험 식별'!$O$6:$O$37,)</f>
        <v>#NAME?</v>
      </c>
      <c r="H35" s="13" t="e">
        <f t="array" aca="1" ref="H35" ca="1">IF(_xludf.XLOOKUP(E35,'2. AI위험 완화 방안 수립'!$E$6:$E$37,'2. AI위험 완화 방안 수립'!$N$6:$N$37,"")="yes",_xludf.XLOOKUP($E35,'2. AI위험 완화 방안 수립'!$E$6:$E$37,'2. AI위험 완화 방안 수립'!$H$6:$H$37,""),"")</f>
        <v>#NAME?</v>
      </c>
      <c r="I35" s="2"/>
      <c r="J35" s="15"/>
      <c r="K35" s="24"/>
      <c r="L35" s="16" t="e">
        <f t="array" aca="1" ref="L35" ca="1">_xludf.IFS(J35="","※ 2. 완화 방안시트를 다시 확인하세요.",K35="","※ 잔여 위험 수준을 평가해주세요.",TRUE,"")</f>
        <v>#NAME?</v>
      </c>
      <c r="M35" s="2"/>
      <c r="N35" s="13" t="s">
        <v>211</v>
      </c>
      <c r="O35" s="13"/>
      <c r="P35" s="16"/>
      <c r="Q35" s="2"/>
      <c r="R35" s="13" t="e">
        <f t="shared" ca="1" si="0"/>
        <v>#NAME?</v>
      </c>
      <c r="S35" s="25">
        <f t="array" ref="S35">IF(O35="Yes",_xludf.IFS(K35="○",100%,K35="△",50%,K35="X",0%,TRUE,0),0)</f>
        <v>0</v>
      </c>
      <c r="T35" s="13" t="e">
        <f t="shared" ca="1" si="1"/>
        <v>#NAME?</v>
      </c>
      <c r="U35" s="2"/>
    </row>
    <row r="36" spans="1:21" ht="30" customHeight="1">
      <c r="A36" s="5"/>
      <c r="B36" s="12">
        <v>30</v>
      </c>
      <c r="C36" s="13" t="s">
        <v>227</v>
      </c>
      <c r="D36" s="13" t="s">
        <v>239</v>
      </c>
      <c r="E36" s="13" t="s">
        <v>240</v>
      </c>
      <c r="F36" s="23" t="e">
        <f t="array" aca="1" ref="F36" ca="1">_xludf.XLOOKUP(E36,'2. AI위험 완화 방안 수립'!$E$6:$E$37,'2. AI위험 완화 방안 수립'!$I$6:$I$37,"")</f>
        <v>#NAME?</v>
      </c>
      <c r="G36" s="13" t="e">
        <f t="array" aca="1" ref="G36" ca="1">_xludf.XLOOKUP($E36,'1. AI위험 식별'!$E$6:$E$37,'1. AI위험 식별'!$O$6:$O$37,)</f>
        <v>#NAME?</v>
      </c>
      <c r="H36" s="13" t="e">
        <f t="array" aca="1" ref="H36" ca="1">IF(_xludf.XLOOKUP(E36,'2. AI위험 완화 방안 수립'!$E$6:$E$37,'2. AI위험 완화 방안 수립'!$N$6:$N$37,"")="yes",_xludf.XLOOKUP($E36,'2. AI위험 완화 방안 수립'!$E$6:$E$37,'2. AI위험 완화 방안 수립'!$H$6:$H$37,""),"")</f>
        <v>#NAME?</v>
      </c>
      <c r="I36" s="2"/>
      <c r="J36" s="15"/>
      <c r="K36" s="24"/>
      <c r="L36" s="16" t="e">
        <f t="array" aca="1" ref="L36" ca="1">_xludf.IFS(J36="","※ 2. 완화 방안시트를 다시 확인하세요.",K36="","※ 잔여 위험 수준을 평가해주세요.",TRUE,"")</f>
        <v>#NAME?</v>
      </c>
      <c r="M36" s="2"/>
      <c r="N36" s="13" t="s">
        <v>211</v>
      </c>
      <c r="O36" s="13"/>
      <c r="P36" s="16"/>
      <c r="Q36" s="2"/>
      <c r="R36" s="13" t="e">
        <f t="shared" ca="1" si="0"/>
        <v>#NAME?</v>
      </c>
      <c r="S36" s="25">
        <f t="array" ref="S36">IF(O36="Yes",_xludf.IFS(K36="○",100%,K36="△",50%,K36="X",0%,TRUE,0),0)</f>
        <v>0</v>
      </c>
      <c r="T36" s="13" t="e">
        <f t="shared" ca="1" si="1"/>
        <v>#NAME?</v>
      </c>
      <c r="U36" s="2"/>
    </row>
    <row r="37" spans="1:21" ht="30" customHeight="1">
      <c r="A37" s="5"/>
      <c r="B37" s="12">
        <v>31</v>
      </c>
      <c r="C37" s="13" t="s">
        <v>227</v>
      </c>
      <c r="D37" s="13" t="s">
        <v>239</v>
      </c>
      <c r="E37" s="13" t="s">
        <v>241</v>
      </c>
      <c r="F37" s="23" t="e">
        <f t="array" aca="1" ref="F37" ca="1">_xludf.XLOOKUP(E37,'2. AI위험 완화 방안 수립'!$E$6:$E$37,'2. AI위험 완화 방안 수립'!$I$6:$I$37,"")</f>
        <v>#NAME?</v>
      </c>
      <c r="G37" s="13" t="e">
        <f t="array" aca="1" ref="G37" ca="1">_xludf.XLOOKUP($E37,'1. AI위험 식별'!$E$6:$E$37,'1. AI위험 식별'!$O$6:$O$37,)</f>
        <v>#NAME?</v>
      </c>
      <c r="H37" s="13" t="e">
        <f t="array" aca="1" ref="H37" ca="1">IF(_xludf.XLOOKUP(E37,'2. AI위험 완화 방안 수립'!$E$6:$E$37,'2. AI위험 완화 방안 수립'!$N$6:$N$37,"")="yes",_xludf.XLOOKUP($E37,'2. AI위험 완화 방안 수립'!$E$6:$E$37,'2. AI위험 완화 방안 수립'!$H$6:$H$37,""),"")</f>
        <v>#NAME?</v>
      </c>
      <c r="I37" s="2"/>
      <c r="J37" s="15"/>
      <c r="K37" s="24"/>
      <c r="L37" s="16" t="e">
        <f t="array" aca="1" ref="L37" ca="1">_xludf.IFS(J37="","※ 2. 완화 방안시트를 다시 확인하세요.",K37="","※ 잔여 위험 수준을 평가해주세요.",TRUE,"")</f>
        <v>#NAME?</v>
      </c>
      <c r="M37" s="2"/>
      <c r="N37" s="13" t="s">
        <v>217</v>
      </c>
      <c r="O37" s="13"/>
      <c r="P37" s="16"/>
      <c r="Q37" s="2"/>
      <c r="R37" s="13" t="e">
        <f t="shared" ca="1" si="0"/>
        <v>#NAME?</v>
      </c>
      <c r="S37" s="25">
        <f t="array" ref="S37">IF(O37="Yes",_xludf.IFS(K37="○",100%,K37="△",50%,K37="X",0%,TRUE,0),0)</f>
        <v>0</v>
      </c>
      <c r="T37" s="13" t="e">
        <f t="shared" ca="1" si="1"/>
        <v>#NAME?</v>
      </c>
      <c r="U37" s="2"/>
    </row>
    <row r="38" spans="1:21" ht="30" customHeight="1">
      <c r="A38" s="2"/>
      <c r="B38" s="12">
        <v>32</v>
      </c>
      <c r="C38" s="13" t="s">
        <v>227</v>
      </c>
      <c r="D38" s="13" t="s">
        <v>239</v>
      </c>
      <c r="E38" s="13" t="s">
        <v>242</v>
      </c>
      <c r="F38" s="23" t="e">
        <f t="array" aca="1" ref="F38" ca="1">_xludf.XLOOKUP(E38,'2. AI위험 완화 방안 수립'!$E$6:$E$37,'2. AI위험 완화 방안 수립'!$I$6:$I$37,"")</f>
        <v>#NAME?</v>
      </c>
      <c r="G38" s="13" t="e">
        <f t="array" aca="1" ref="G38" ca="1">_xludf.XLOOKUP($E38,'1. AI위험 식별'!$E$6:$E$37,'1. AI위험 식별'!$O$6:$O$37,)</f>
        <v>#NAME?</v>
      </c>
      <c r="H38" s="13" t="e">
        <f t="array" aca="1" ref="H38" ca="1">IF(_xludf.XLOOKUP(E38,'2. AI위험 완화 방안 수립'!$E$6:$E$37,'2. AI위험 완화 방안 수립'!$N$6:$N$37,"")="yes",_xludf.XLOOKUP($E38,'2. AI위험 완화 방안 수립'!$E$6:$E$37,'2. AI위험 완화 방안 수립'!$H$6:$H$37,""),"")</f>
        <v>#NAME?</v>
      </c>
      <c r="I38" s="2"/>
      <c r="J38" s="15"/>
      <c r="K38" s="24"/>
      <c r="L38" s="16" t="e">
        <f t="array" aca="1" ref="L38" ca="1">_xludf.IFS(J38="","※ 2. 완화 방안시트를 다시 확인하세요.",K38="","※ 잔여 위험 수준을 평가해주세요.",TRUE,"")</f>
        <v>#NAME?</v>
      </c>
      <c r="M38" s="2"/>
      <c r="N38" s="13" t="s">
        <v>211</v>
      </c>
      <c r="O38" s="13"/>
      <c r="P38" s="16"/>
      <c r="Q38" s="2"/>
      <c r="R38" s="13" t="e">
        <f t="shared" ca="1" si="0"/>
        <v>#NAME?</v>
      </c>
      <c r="S38" s="25">
        <f t="array" ref="S38">IF(O38="Yes",_xludf.IFS(K38="○",100%,K38="△",50%,K38="X",0%,TRUE,0),0)</f>
        <v>0</v>
      </c>
      <c r="T38" s="13" t="e">
        <f t="shared" ca="1" si="1"/>
        <v>#NAME?</v>
      </c>
      <c r="U38" s="2"/>
    </row>
    <row r="39" spans="1:21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62" t="s">
        <v>273</v>
      </c>
      <c r="S39" s="58"/>
      <c r="T39" s="16" t="e">
        <f ca="1">SUM(T7:T38)</f>
        <v>#NAME?</v>
      </c>
      <c r="U39" s="2"/>
    </row>
    <row r="40" spans="1:21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7.25" customHeight="1"/>
    <row r="42" spans="1:21" ht="17.25" customHeight="1"/>
    <row r="43" spans="1:21" ht="17.25" customHeight="1"/>
    <row r="44" spans="1:21" ht="17.25" customHeight="1"/>
    <row r="45" spans="1:21" ht="17.25" customHeight="1"/>
    <row r="46" spans="1:21" ht="17.25" customHeight="1"/>
    <row r="47" spans="1:21" ht="17.25" customHeight="1"/>
    <row r="48" spans="1:21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1">
    <mergeCell ref="J5:L5"/>
    <mergeCell ref="N5:P5"/>
    <mergeCell ref="R5:T5"/>
    <mergeCell ref="R39:S39"/>
    <mergeCell ref="B2:H2"/>
    <mergeCell ref="J2:L2"/>
    <mergeCell ref="N2:P2"/>
    <mergeCell ref="B3:H3"/>
    <mergeCell ref="J3:L3"/>
    <mergeCell ref="N3:P3"/>
    <mergeCell ref="B5:H5"/>
  </mergeCells>
  <phoneticPr fontId="10" type="noConversion"/>
  <conditionalFormatting sqref="J7:L38 O7:P38">
    <cfRule type="expression" dxfId="6" priority="1">
      <formula>OR($G7="no",$H7="no")</formula>
    </cfRule>
  </conditionalFormatting>
  <conditionalFormatting sqref="O7:O38">
    <cfRule type="expression" dxfId="5" priority="2">
      <formula>OR($F7="No",$F7="N/A")</formula>
    </cfRule>
  </conditionalFormatting>
  <conditionalFormatting sqref="P6:P38">
    <cfRule type="expression" dxfId="4" priority="3">
      <formula>$O6="Yes"</formula>
    </cfRule>
  </conditionalFormatting>
  <dataValidations count="2">
    <dataValidation type="list" allowBlank="1" sqref="K7:K38" xr:uid="{00000000-0002-0000-0400-000000000000}">
      <formula1>"○,△,X"</formula1>
    </dataValidation>
    <dataValidation type="list" allowBlank="1" sqref="O7:O38" xr:uid="{00000000-0002-0000-0400-000001000000}">
      <formula1>"Yes,No"</formula1>
    </dataValidation>
  </dataValidations>
  <pageMargins left="0.7" right="0.7" top="0.75" bottom="0.75" header="0" footer="0"/>
  <pageSetup paperSize="9" scale="1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7" sqref="J7"/>
    </sheetView>
  </sheetViews>
  <sheetFormatPr defaultColWidth="12.59765625" defaultRowHeight="15" customHeight="1"/>
  <cols>
    <col min="1" max="1" width="3.19921875" customWidth="1"/>
    <col min="2" max="2" width="27.19921875" customWidth="1"/>
    <col min="3" max="3" width="25.19921875" customWidth="1"/>
    <col min="4" max="5" width="13.59765625" customWidth="1"/>
    <col min="6" max="6" width="13.19921875" customWidth="1"/>
    <col min="7" max="7" width="4.3984375" customWidth="1"/>
    <col min="8" max="8" width="23.19921875" customWidth="1"/>
    <col min="9" max="10" width="33.5" customWidth="1"/>
    <col min="11" max="11" width="14.59765625" customWidth="1"/>
    <col min="12" max="12" width="27.19921875" customWidth="1"/>
    <col min="13" max="13" width="25.19921875" customWidth="1"/>
    <col min="14" max="14" width="27.59765625" customWidth="1"/>
    <col min="15" max="26" width="8.59765625" customWidth="1"/>
  </cols>
  <sheetData>
    <row r="1" spans="1:26" ht="17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6" ht="17.25" customHeight="1">
      <c r="A2" s="26"/>
      <c r="B2" s="27" t="s">
        <v>274</v>
      </c>
      <c r="C2" s="26"/>
      <c r="D2" s="26"/>
      <c r="E2" s="26"/>
      <c r="F2" s="26"/>
      <c r="G2" s="27" t="s">
        <v>275</v>
      </c>
      <c r="H2" s="27"/>
      <c r="I2" s="26"/>
      <c r="J2" s="26"/>
      <c r="K2" s="26"/>
      <c r="L2" s="26"/>
      <c r="M2" s="26"/>
      <c r="N2" s="26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7.25" customHeight="1">
      <c r="A3" s="26"/>
      <c r="B3" s="20" t="s">
        <v>276</v>
      </c>
      <c r="C3" s="13">
        <f>'3. 잔여 AI 위험 평가'!P39</f>
        <v>0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7.25" customHeight="1">
      <c r="A4" s="2"/>
      <c r="B4" s="20" t="s">
        <v>198</v>
      </c>
      <c r="C4" s="13" t="e">
        <f t="array" aca="1" ref="C4" ca="1">_xludf.IFS(C3&gt;=#REF!,#REF!,C3&gt;#REF!,#REF!,C3&gt;=#REF!,#REF!,TRUE,#REF!)</f>
        <v>#NAME?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6" ht="17.25" customHeight="1">
      <c r="A5" s="2"/>
      <c r="B5" s="2"/>
      <c r="C5" s="2"/>
      <c r="D5" s="2"/>
      <c r="E5" s="2"/>
      <c r="F5" s="2"/>
      <c r="G5" s="3"/>
      <c r="H5" s="3"/>
      <c r="I5" s="3"/>
      <c r="J5" s="3"/>
      <c r="K5" s="29" t="s">
        <v>190</v>
      </c>
      <c r="L5" s="64" t="s">
        <v>243</v>
      </c>
      <c r="M5" s="58"/>
      <c r="N5" s="30" t="s">
        <v>277</v>
      </c>
    </row>
    <row r="6" spans="1:26" ht="17.25" customHeight="1">
      <c r="A6" s="2"/>
      <c r="B6" s="31" t="s">
        <v>200</v>
      </c>
      <c r="C6" s="20" t="s">
        <v>201</v>
      </c>
      <c r="D6" s="32" t="s">
        <v>278</v>
      </c>
      <c r="E6" s="32" t="s">
        <v>279</v>
      </c>
      <c r="F6" s="2"/>
      <c r="G6" s="20" t="s">
        <v>280</v>
      </c>
      <c r="H6" s="20" t="s">
        <v>200</v>
      </c>
      <c r="I6" s="20" t="s">
        <v>201</v>
      </c>
      <c r="J6" s="20" t="s">
        <v>202</v>
      </c>
      <c r="K6" s="30" t="s">
        <v>250</v>
      </c>
      <c r="L6" s="33" t="s">
        <v>281</v>
      </c>
      <c r="M6" s="33" t="s">
        <v>282</v>
      </c>
      <c r="N6" s="33" t="s">
        <v>283</v>
      </c>
    </row>
    <row r="7" spans="1:26" ht="30" customHeight="1">
      <c r="A7" s="2"/>
      <c r="B7" s="13" t="s">
        <v>209</v>
      </c>
      <c r="C7" s="34" t="s">
        <v>210</v>
      </c>
      <c r="D7" s="16">
        <f>COUNTIFS('1. AI위험 식별'!$D$6:$D$37,C7,'1. AI위험 식별'!$O$6:$O$37,"yes")</f>
        <v>0</v>
      </c>
      <c r="E7" s="16" t="e">
        <f ca="1">SUMIF('3. 잔여 AI 위험 평가'!$D$7:$D$38,'0. 위험평가 결과 요약'!C7,'3. 잔여 AI 위험 평가'!$T$7:$T$38)</f>
        <v>#NAME?</v>
      </c>
      <c r="F7" s="2"/>
      <c r="G7" s="12">
        <v>1</v>
      </c>
      <c r="H7" s="13" t="s">
        <v>209</v>
      </c>
      <c r="I7" s="13" t="s">
        <v>210</v>
      </c>
      <c r="J7" s="13" t="s">
        <v>4</v>
      </c>
      <c r="K7" s="24" t="e">
        <f t="array" aca="1" ref="K7" ca="1">_xludf.XLOOKUP(J7,'1. AI위험 식별'!$E$6:$E$37,'1. AI위험 식별'!$O$6:$O$37,"")</f>
        <v>#NAME?</v>
      </c>
      <c r="L7" s="24" t="e">
        <f t="array" aca="1" ref="L7" ca="1">_xludf.XLOOKUP($K7,'2. AI위험 완화 방안 수립'!$E$6:$E$37,'2. AI위험 완화 방안 수립'!$N$6:$N$37,"")</f>
        <v>#NAME?</v>
      </c>
      <c r="M7" s="24" t="e">
        <f t="array" aca="1" ref="M7" ca="1">_xludf.XLOOKUP($K7,'2. AI위험 완화 방안 수립'!$E$6:$E$37,'2. AI위험 완화 방안 수립'!$R$6:$R$37,"")</f>
        <v>#NAME?</v>
      </c>
      <c r="N7" s="24" t="e">
        <f t="array" aca="1" ref="N7" ca="1">_xludf.XLOOKUP(I7,'3. 잔여 AI 위험 평가'!$E$7:$E$38,'3. 잔여 AI 위험 평가'!$O$7:$O$38,"")</f>
        <v>#NAME?</v>
      </c>
    </row>
    <row r="8" spans="1:26" ht="30" customHeight="1">
      <c r="A8" s="2"/>
      <c r="B8" s="13" t="s">
        <v>209</v>
      </c>
      <c r="C8" s="34" t="s">
        <v>212</v>
      </c>
      <c r="D8" s="16">
        <f>COUNTIFS('1. AI위험 식별'!$D$6:$D$37,C8,'1. AI위험 식별'!$O$6:$O$37,"yes")</f>
        <v>0</v>
      </c>
      <c r="E8" s="16" t="e">
        <f ca="1">SUMIF('3. 잔여 AI 위험 평가'!$D$7:$D$38,'0. 위험평가 결과 요약'!C8,'3. 잔여 AI 위험 평가'!$T$7:$T$38)</f>
        <v>#NAME?</v>
      </c>
      <c r="F8" s="2"/>
      <c r="G8" s="12">
        <v>2</v>
      </c>
      <c r="H8" s="13" t="s">
        <v>209</v>
      </c>
      <c r="I8" s="13" t="s">
        <v>210</v>
      </c>
      <c r="J8" s="13" t="s">
        <v>12</v>
      </c>
      <c r="K8" s="24" t="e">
        <f t="array" aca="1" ref="K8" ca="1">_xludf.XLOOKUP(J8,'1. AI위험 식별'!$E$6:$E$37,'1. AI위험 식별'!$O$6:$O$37,"")</f>
        <v>#NAME?</v>
      </c>
      <c r="L8" s="24" t="e">
        <f t="array" aca="1" ref="L8" ca="1">_xludf.XLOOKUP($K8,'2. AI위험 완화 방안 수립'!$E$6:$E$37,'2. AI위험 완화 방안 수립'!$N$6:$N$37,"")</f>
        <v>#NAME?</v>
      </c>
      <c r="M8" s="24" t="e">
        <f t="array" aca="1" ref="M8" ca="1">_xludf.XLOOKUP($K8,'2. AI위험 완화 방안 수립'!$E$6:$E$37,'2. AI위험 완화 방안 수립'!$R$6:$R$37,"")</f>
        <v>#NAME?</v>
      </c>
      <c r="N8" s="24" t="e">
        <f t="array" aca="1" ref="N8" ca="1">_xludf.XLOOKUP(I8,'3. 잔여 AI 위험 평가'!$E$7:$E$38,'3. 잔여 AI 위험 평가'!$O$7:$O$38,"")</f>
        <v>#NAME?</v>
      </c>
    </row>
    <row r="9" spans="1:26" ht="30" customHeight="1">
      <c r="A9" s="2"/>
      <c r="B9" s="13" t="s">
        <v>209</v>
      </c>
      <c r="C9" s="34" t="s">
        <v>213</v>
      </c>
      <c r="D9" s="16">
        <f>COUNTIFS('1. AI위험 식별'!$D$6:$D$37,C9,'1. AI위험 식별'!$O$6:$O$37,"yes")</f>
        <v>0</v>
      </c>
      <c r="E9" s="16" t="e">
        <f ca="1">SUMIF('3. 잔여 AI 위험 평가'!$D$7:$D$38,'0. 위험평가 결과 요약'!C9,'3. 잔여 AI 위험 평가'!$T$7:$T$38)</f>
        <v>#NAME?</v>
      </c>
      <c r="F9" s="2"/>
      <c r="G9" s="12">
        <v>3</v>
      </c>
      <c r="H9" s="13" t="s">
        <v>209</v>
      </c>
      <c r="I9" s="13" t="s">
        <v>212</v>
      </c>
      <c r="J9" s="13" t="s">
        <v>23</v>
      </c>
      <c r="K9" s="24" t="e">
        <f t="array" aca="1" ref="K9" ca="1">_xludf.XLOOKUP(J9,'1. AI위험 식별'!$E$6:$E$37,'1. AI위험 식별'!$O$6:$O$37,"")</f>
        <v>#NAME?</v>
      </c>
      <c r="L9" s="24" t="e">
        <f t="array" aca="1" ref="L9" ca="1">_xludf.XLOOKUP($K9,'2. AI위험 완화 방안 수립'!$E$6:$E$37,'2. AI위험 완화 방안 수립'!$N$6:$N$37,"")</f>
        <v>#NAME?</v>
      </c>
      <c r="M9" s="24" t="e">
        <f t="array" aca="1" ref="M9" ca="1">_xludf.XLOOKUP($K9,'2. AI위험 완화 방안 수립'!$E$6:$E$37,'2. AI위험 완화 방안 수립'!$R$6:$R$37,"")</f>
        <v>#NAME?</v>
      </c>
      <c r="N9" s="24" t="e">
        <f t="array" aca="1" ref="N9" ca="1">_xludf.XLOOKUP(I9,'3. 잔여 AI 위험 평가'!$E$7:$E$38,'3. 잔여 AI 위험 평가'!$O$7:$O$38,"")</f>
        <v>#NAME?</v>
      </c>
    </row>
    <row r="10" spans="1:26" ht="30" customHeight="1">
      <c r="A10" s="2"/>
      <c r="B10" s="13" t="s">
        <v>209</v>
      </c>
      <c r="C10" s="34" t="s">
        <v>214</v>
      </c>
      <c r="D10" s="16">
        <f>COUNTIFS('1. AI위험 식별'!$D$6:$D$37,C10,'1. AI위험 식별'!$O$6:$O$37,"yes")</f>
        <v>0</v>
      </c>
      <c r="E10" s="16" t="e">
        <f ca="1">SUMIF('3. 잔여 AI 위험 평가'!$D$7:$D$38,'0. 위험평가 결과 요약'!C10,'3. 잔여 AI 위험 평가'!$T$7:$T$38)</f>
        <v>#NAME?</v>
      </c>
      <c r="F10" s="2"/>
      <c r="G10" s="12">
        <v>4</v>
      </c>
      <c r="H10" s="13" t="s">
        <v>209</v>
      </c>
      <c r="I10" s="13" t="s">
        <v>213</v>
      </c>
      <c r="J10" s="13" t="s">
        <v>44</v>
      </c>
      <c r="K10" s="24" t="e">
        <f t="array" aca="1" ref="K10" ca="1">_xludf.XLOOKUP(J10,'1. AI위험 식별'!$E$6:$E$37,'1. AI위험 식별'!$O$6:$O$37,"")</f>
        <v>#NAME?</v>
      </c>
      <c r="L10" s="24" t="e">
        <f t="array" aca="1" ref="L10" ca="1">_xludf.XLOOKUP($K10,'2. AI위험 완화 방안 수립'!$E$6:$E$37,'2. AI위험 완화 방안 수립'!$N$6:$N$37,"")</f>
        <v>#NAME?</v>
      </c>
      <c r="M10" s="24" t="e">
        <f t="array" aca="1" ref="M10" ca="1">_xludf.XLOOKUP($K10,'2. AI위험 완화 방안 수립'!$E$6:$E$37,'2. AI위험 완화 방안 수립'!$R$6:$R$37,"")</f>
        <v>#NAME?</v>
      </c>
      <c r="N10" s="24" t="e">
        <f t="array" aca="1" ref="N10" ca="1">_xludf.XLOOKUP(I10,'3. 잔여 AI 위험 평가'!$E$7:$E$38,'3. 잔여 AI 위험 평가'!$O$7:$O$38,"")</f>
        <v>#NAME?</v>
      </c>
    </row>
    <row r="11" spans="1:26" ht="30" customHeight="1">
      <c r="A11" s="2"/>
      <c r="B11" s="65" t="s">
        <v>273</v>
      </c>
      <c r="C11" s="66"/>
      <c r="D11" s="35">
        <f t="shared" ref="D11:E11" si="0">SUM(D7:D10)</f>
        <v>0</v>
      </c>
      <c r="E11" s="35" t="e">
        <f t="shared" ca="1" si="0"/>
        <v>#NAME?</v>
      </c>
      <c r="F11" s="2"/>
      <c r="G11" s="12">
        <v>5</v>
      </c>
      <c r="H11" s="13" t="s">
        <v>209</v>
      </c>
      <c r="I11" s="13" t="s">
        <v>213</v>
      </c>
      <c r="J11" s="13" t="s">
        <v>47</v>
      </c>
      <c r="K11" s="24" t="e">
        <f t="array" aca="1" ref="K11" ca="1">_xludf.XLOOKUP(J11,'1. AI위험 식별'!$E$6:$E$37,'1. AI위험 식별'!$O$6:$O$37,"")</f>
        <v>#NAME?</v>
      </c>
      <c r="L11" s="24" t="e">
        <f t="array" aca="1" ref="L11" ca="1">_xludf.XLOOKUP($K11,'2. AI위험 완화 방안 수립'!$E$6:$E$37,'2. AI위험 완화 방안 수립'!$N$6:$N$37,"")</f>
        <v>#NAME?</v>
      </c>
      <c r="M11" s="24" t="e">
        <f t="array" aca="1" ref="M11" ca="1">_xludf.XLOOKUP($K11,'2. AI위험 완화 방안 수립'!$E$6:$E$37,'2. AI위험 완화 방안 수립'!$R$6:$R$37,"")</f>
        <v>#NAME?</v>
      </c>
      <c r="N11" s="24" t="e">
        <f t="array" aca="1" ref="N11" ca="1">_xludf.XLOOKUP(I11,'3. 잔여 AI 위험 평가'!$E$7:$E$38,'3. 잔여 AI 위험 평가'!$O$7:$O$38,"")</f>
        <v>#NAME?</v>
      </c>
    </row>
    <row r="12" spans="1:26" ht="30" customHeight="1">
      <c r="A12" s="2"/>
      <c r="B12" s="13" t="s">
        <v>215</v>
      </c>
      <c r="C12" s="13" t="s">
        <v>216</v>
      </c>
      <c r="D12" s="16">
        <f>COUNTIFS('1. AI위험 식별'!$D$6:$D$37,C12,'1. AI위험 식별'!$O$6:$O$37,"yes")</f>
        <v>0</v>
      </c>
      <c r="E12" s="16" t="e">
        <f ca="1">SUMIF('3. 잔여 AI 위험 평가'!$D$7:$D$38,'0. 위험평가 결과 요약'!C12,'3. 잔여 AI 위험 평가'!$T$7:$T$38)</f>
        <v>#NAME?</v>
      </c>
      <c r="F12" s="2"/>
      <c r="G12" s="12">
        <v>6</v>
      </c>
      <c r="H12" s="13" t="s">
        <v>209</v>
      </c>
      <c r="I12" s="13" t="s">
        <v>214</v>
      </c>
      <c r="J12" s="13" t="s">
        <v>54</v>
      </c>
      <c r="K12" s="24" t="e">
        <f t="array" aca="1" ref="K12" ca="1">_xludf.XLOOKUP(J12,'1. AI위험 식별'!$E$6:$E$37,'1. AI위험 식별'!$O$6:$O$37,"")</f>
        <v>#NAME?</v>
      </c>
      <c r="L12" s="24" t="e">
        <f t="array" aca="1" ref="L12" ca="1">_xludf.XLOOKUP($K12,'2. AI위험 완화 방안 수립'!$E$6:$E$37,'2. AI위험 완화 방안 수립'!$N$6:$N$37,"")</f>
        <v>#NAME?</v>
      </c>
      <c r="M12" s="24" t="e">
        <f t="array" aca="1" ref="M12" ca="1">_xludf.XLOOKUP($K12,'2. AI위험 완화 방안 수립'!$E$6:$E$37,'2. AI위험 완화 방안 수립'!$R$6:$R$37,"")</f>
        <v>#NAME?</v>
      </c>
      <c r="N12" s="24" t="e">
        <f t="array" aca="1" ref="N12" ca="1">_xludf.XLOOKUP(I12,'3. 잔여 AI 위험 평가'!$E$7:$E$38,'3. 잔여 AI 위험 평가'!$O$7:$O$38,"")</f>
        <v>#NAME?</v>
      </c>
    </row>
    <row r="13" spans="1:26" ht="30" customHeight="1">
      <c r="A13" s="2"/>
      <c r="B13" s="13" t="s">
        <v>215</v>
      </c>
      <c r="C13" s="13" t="s">
        <v>218</v>
      </c>
      <c r="D13" s="16">
        <f>COUNTIFS('1. AI위험 식별'!$D$6:$D$37,C13,'1. AI위험 식별'!$O$6:$O$37,"yes")</f>
        <v>0</v>
      </c>
      <c r="E13" s="16" t="e">
        <f ca="1">SUMIF('3. 잔여 AI 위험 평가'!$D$7:$D$38,'0. 위험평가 결과 요약'!C13,'3. 잔여 AI 위험 평가'!$T$7:$T$38)</f>
        <v>#NAME?</v>
      </c>
      <c r="F13" s="2"/>
      <c r="G13" s="12">
        <v>7</v>
      </c>
      <c r="H13" s="13" t="s">
        <v>215</v>
      </c>
      <c r="I13" s="13" t="s">
        <v>216</v>
      </c>
      <c r="J13" s="13" t="s">
        <v>91</v>
      </c>
      <c r="K13" s="24" t="e">
        <f t="array" aca="1" ref="K13" ca="1">_xludf.XLOOKUP(J13,'1. AI위험 식별'!$E$6:$E$37,'1. AI위험 식별'!$O$6:$O$37,"")</f>
        <v>#NAME?</v>
      </c>
      <c r="L13" s="24" t="e">
        <f t="array" aca="1" ref="L13" ca="1">_xludf.XLOOKUP($K13,'2. AI위험 완화 방안 수립'!$E$6:$E$37,'2. AI위험 완화 방안 수립'!$N$6:$N$37,"")</f>
        <v>#NAME?</v>
      </c>
      <c r="M13" s="24" t="e">
        <f t="array" aca="1" ref="M13" ca="1">_xludf.XLOOKUP($K13,'2. AI위험 완화 방안 수립'!$E$6:$E$37,'2. AI위험 완화 방안 수립'!$R$6:$R$37,"")</f>
        <v>#NAME?</v>
      </c>
      <c r="N13" s="24" t="e">
        <f t="array" aca="1" ref="N13" ca="1">_xludf.XLOOKUP(I13,'3. 잔여 AI 위험 평가'!$E$7:$E$38,'3. 잔여 AI 위험 평가'!$O$7:$O$38,"")</f>
        <v>#NAME?</v>
      </c>
    </row>
    <row r="14" spans="1:26" ht="30" customHeight="1">
      <c r="A14" s="2"/>
      <c r="B14" s="13" t="s">
        <v>215</v>
      </c>
      <c r="C14" s="13" t="s">
        <v>219</v>
      </c>
      <c r="D14" s="16">
        <f>COUNTIFS('1. AI위험 식별'!$D$6:$D$37,C14,'1. AI위험 식별'!$O$6:$O$37,"yes")</f>
        <v>0</v>
      </c>
      <c r="E14" s="16" t="e">
        <f ca="1">SUMIF('3. 잔여 AI 위험 평가'!$D$7:$D$38,'0. 위험평가 결과 요약'!C14,'3. 잔여 AI 위험 평가'!$T$7:$T$38)</f>
        <v>#NAME?</v>
      </c>
      <c r="F14" s="2"/>
      <c r="G14" s="12">
        <v>8</v>
      </c>
      <c r="H14" s="13" t="s">
        <v>215</v>
      </c>
      <c r="I14" s="13" t="s">
        <v>216</v>
      </c>
      <c r="J14" s="13" t="s">
        <v>98</v>
      </c>
      <c r="K14" s="24" t="e">
        <f t="array" aca="1" ref="K14" ca="1">_xludf.XLOOKUP(J14,'1. AI위험 식별'!$E$6:$E$37,'1. AI위험 식별'!$O$6:$O$37,"")</f>
        <v>#NAME?</v>
      </c>
      <c r="L14" s="24" t="e">
        <f t="array" aca="1" ref="L14" ca="1">_xludf.XLOOKUP($K14,'2. AI위험 완화 방안 수립'!$E$6:$E$37,'2. AI위험 완화 방안 수립'!$N$6:$N$37,"")</f>
        <v>#NAME?</v>
      </c>
      <c r="M14" s="24" t="e">
        <f t="array" aca="1" ref="M14" ca="1">_xludf.XLOOKUP($K14,'2. AI위험 완화 방안 수립'!$E$6:$E$37,'2. AI위험 완화 방안 수립'!$R$6:$R$37,"")</f>
        <v>#NAME?</v>
      </c>
      <c r="N14" s="24" t="e">
        <f t="array" aca="1" ref="N14" ca="1">_xludf.XLOOKUP(I14,'3. 잔여 AI 위험 평가'!$E$7:$E$38,'3. 잔여 AI 위험 평가'!$O$7:$O$38,"")</f>
        <v>#NAME?</v>
      </c>
    </row>
    <row r="15" spans="1:26" ht="30" customHeight="1">
      <c r="A15" s="2"/>
      <c r="B15" s="13" t="s">
        <v>215</v>
      </c>
      <c r="C15" s="13" t="s">
        <v>220</v>
      </c>
      <c r="D15" s="16">
        <f>COUNTIFS('1. AI위험 식별'!$D$6:$D$37,C15,'1. AI위험 식별'!$O$6:$O$37,"yes")</f>
        <v>0</v>
      </c>
      <c r="E15" s="16" t="e">
        <f ca="1">SUMIF('3. 잔여 AI 위험 평가'!$D$7:$D$38,'0. 위험평가 결과 요약'!C15,'3. 잔여 AI 위험 평가'!$T$7:$T$38)</f>
        <v>#NAME?</v>
      </c>
      <c r="F15" s="2"/>
      <c r="G15" s="12">
        <v>9</v>
      </c>
      <c r="H15" s="13" t="s">
        <v>215</v>
      </c>
      <c r="I15" s="13" t="s">
        <v>216</v>
      </c>
      <c r="J15" s="13" t="s">
        <v>63</v>
      </c>
      <c r="K15" s="24" t="e">
        <f t="array" aca="1" ref="K15" ca="1">_xludf.XLOOKUP(J15,'1. AI위험 식별'!$E$6:$E$37,'1. AI위험 식별'!$O$6:$O$37,"")</f>
        <v>#NAME?</v>
      </c>
      <c r="L15" s="24" t="e">
        <f t="array" aca="1" ref="L15" ca="1">_xludf.XLOOKUP($K15,'2. AI위험 완화 방안 수립'!$E$6:$E$37,'2. AI위험 완화 방안 수립'!$N$6:$N$37,"")</f>
        <v>#NAME?</v>
      </c>
      <c r="M15" s="24" t="e">
        <f t="array" aca="1" ref="M15" ca="1">_xludf.XLOOKUP($K15,'2. AI위험 완화 방안 수립'!$E$6:$E$37,'2. AI위험 완화 방안 수립'!$R$6:$R$37,"")</f>
        <v>#NAME?</v>
      </c>
      <c r="N15" s="24" t="e">
        <f t="array" aca="1" ref="N15" ca="1">_xludf.XLOOKUP(I15,'3. 잔여 AI 위험 평가'!$E$7:$E$38,'3. 잔여 AI 위험 평가'!$O$7:$O$38,"")</f>
        <v>#NAME?</v>
      </c>
    </row>
    <row r="16" spans="1:26" ht="30" customHeight="1">
      <c r="A16" s="2"/>
      <c r="B16" s="13" t="s">
        <v>215</v>
      </c>
      <c r="C16" s="13" t="s">
        <v>222</v>
      </c>
      <c r="D16" s="16">
        <f>COUNTIFS('1. AI위험 식별'!$D$6:$D$37,C16,'1. AI위험 식별'!$O$6:$O$37,"yes")</f>
        <v>0</v>
      </c>
      <c r="E16" s="16" t="e">
        <f ca="1">SUMIF('3. 잔여 AI 위험 평가'!$D$7:$D$38,'0. 위험평가 결과 요약'!C16,'3. 잔여 AI 위험 평가'!$T$7:$T$38)</f>
        <v>#NAME?</v>
      </c>
      <c r="F16" s="2"/>
      <c r="G16" s="12">
        <v>10</v>
      </c>
      <c r="H16" s="13" t="s">
        <v>215</v>
      </c>
      <c r="I16" s="13" t="s">
        <v>218</v>
      </c>
      <c r="J16" s="13" t="s">
        <v>67</v>
      </c>
      <c r="K16" s="24" t="e">
        <f t="array" aca="1" ref="K16" ca="1">_xludf.XLOOKUP(J16,'1. AI위험 식별'!$E$6:$E$37,'1. AI위험 식별'!$O$6:$O$37,"")</f>
        <v>#NAME?</v>
      </c>
      <c r="L16" s="24" t="e">
        <f t="array" aca="1" ref="L16" ca="1">_xludf.XLOOKUP($K16,'2. AI위험 완화 방안 수립'!$E$6:$E$37,'2. AI위험 완화 방안 수립'!$N$6:$N$37,"")</f>
        <v>#NAME?</v>
      </c>
      <c r="M16" s="24" t="e">
        <f t="array" aca="1" ref="M16" ca="1">_xludf.XLOOKUP($K16,'2. AI위험 완화 방안 수립'!$E$6:$E$37,'2. AI위험 완화 방안 수립'!$R$6:$R$37,"")</f>
        <v>#NAME?</v>
      </c>
      <c r="N16" s="24" t="e">
        <f t="array" aca="1" ref="N16" ca="1">_xludf.XLOOKUP(I16,'3. 잔여 AI 위험 평가'!$E$7:$E$38,'3. 잔여 AI 위험 평가'!$O$7:$O$38,"")</f>
        <v>#NAME?</v>
      </c>
    </row>
    <row r="17" spans="1:14" ht="30" customHeight="1">
      <c r="A17" s="2"/>
      <c r="B17" s="65" t="s">
        <v>273</v>
      </c>
      <c r="C17" s="66"/>
      <c r="D17" s="35">
        <f t="shared" ref="D17:E17" si="1">SUM(D12:D16)</f>
        <v>0</v>
      </c>
      <c r="E17" s="35" t="e">
        <f t="shared" ca="1" si="1"/>
        <v>#NAME?</v>
      </c>
      <c r="F17" s="2"/>
      <c r="G17" s="12">
        <v>11</v>
      </c>
      <c r="H17" s="13" t="s">
        <v>215</v>
      </c>
      <c r="I17" s="13" t="s">
        <v>219</v>
      </c>
      <c r="J17" s="13" t="s">
        <v>106</v>
      </c>
      <c r="K17" s="24" t="e">
        <f t="array" aca="1" ref="K17" ca="1">_xludf.XLOOKUP(J17,'1. AI위험 식별'!$E$6:$E$37,'1. AI위험 식별'!$O$6:$O$37,"")</f>
        <v>#NAME?</v>
      </c>
      <c r="L17" s="24" t="e">
        <f t="array" aca="1" ref="L17" ca="1">_xludf.XLOOKUP($K17,'2. AI위험 완화 방안 수립'!$E$6:$E$37,'2. AI위험 완화 방안 수립'!$N$6:$N$37,"")</f>
        <v>#NAME?</v>
      </c>
      <c r="M17" s="24" t="e">
        <f t="array" aca="1" ref="M17" ca="1">_xludf.XLOOKUP($K17,'2. AI위험 완화 방안 수립'!$E$6:$E$37,'2. AI위험 완화 방안 수립'!$R$6:$R$37,"")</f>
        <v>#NAME?</v>
      </c>
      <c r="N17" s="24" t="e">
        <f t="array" aca="1" ref="N17" ca="1">_xludf.XLOOKUP(I17,'3. 잔여 AI 위험 평가'!$E$7:$E$38,'3. 잔여 AI 위험 평가'!$O$7:$O$38,"")</f>
        <v>#NAME?</v>
      </c>
    </row>
    <row r="18" spans="1:14" ht="30" customHeight="1">
      <c r="A18" s="2"/>
      <c r="B18" s="13" t="s">
        <v>223</v>
      </c>
      <c r="C18" s="13" t="s">
        <v>224</v>
      </c>
      <c r="D18" s="16">
        <f>COUNTIFS('1. AI위험 식별'!$D$6:$D$37,C18,'1. AI위험 식별'!$O$6:$O$37,"yes")</f>
        <v>0</v>
      </c>
      <c r="E18" s="16" t="e">
        <f ca="1">SUMIF('3. 잔여 AI 위험 평가'!$D$7:$D$38,'0. 위험평가 결과 요약'!C18,'3. 잔여 AI 위험 평가'!$T$7:$T$38)</f>
        <v>#NAME?</v>
      </c>
      <c r="F18" s="2"/>
      <c r="G18" s="12">
        <v>12</v>
      </c>
      <c r="H18" s="13" t="s">
        <v>215</v>
      </c>
      <c r="I18" s="13" t="s">
        <v>220</v>
      </c>
      <c r="J18" s="13" t="s">
        <v>221</v>
      </c>
      <c r="K18" s="24" t="e">
        <f t="array" aca="1" ref="K18" ca="1">_xludf.XLOOKUP(J18,'1. AI위험 식별'!$E$6:$E$37,'1. AI위험 식별'!$O$6:$O$37,"")</f>
        <v>#NAME?</v>
      </c>
      <c r="L18" s="24" t="e">
        <f t="array" aca="1" ref="L18" ca="1">_xludf.XLOOKUP($K18,'2. AI위험 완화 방안 수립'!$E$6:$E$37,'2. AI위험 완화 방안 수립'!$N$6:$N$37,"")</f>
        <v>#NAME?</v>
      </c>
      <c r="M18" s="24" t="e">
        <f t="array" aca="1" ref="M18" ca="1">_xludf.XLOOKUP($K18,'2. AI위험 완화 방안 수립'!$E$6:$E$37,'2. AI위험 완화 방안 수립'!$R$6:$R$37,"")</f>
        <v>#NAME?</v>
      </c>
      <c r="N18" s="24" t="e">
        <f t="array" aca="1" ref="N18" ca="1">_xludf.XLOOKUP(I18,'3. 잔여 AI 위험 평가'!$E$7:$E$38,'3. 잔여 AI 위험 평가'!$O$7:$O$38,"")</f>
        <v>#NAME?</v>
      </c>
    </row>
    <row r="19" spans="1:14" ht="30" customHeight="1">
      <c r="A19" s="2"/>
      <c r="B19" s="13" t="s">
        <v>223</v>
      </c>
      <c r="C19" s="13" t="s">
        <v>284</v>
      </c>
      <c r="D19" s="16">
        <f>COUNTIFS('1. AI위험 식별'!$D$6:$D$37,C19,'1. AI위험 식별'!$O$6:$O$37,"yes")</f>
        <v>0</v>
      </c>
      <c r="E19" s="16">
        <f>SUMIF('3. 잔여 AI 위험 평가'!$D$7:$D$38,'0. 위험평가 결과 요약'!C19,'3. 잔여 AI 위험 평가'!$T$7:$T$38)</f>
        <v>0</v>
      </c>
      <c r="F19" s="2"/>
      <c r="G19" s="12">
        <v>13</v>
      </c>
      <c r="H19" s="13" t="s">
        <v>215</v>
      </c>
      <c r="I19" s="13" t="s">
        <v>222</v>
      </c>
      <c r="J19" s="13" t="s">
        <v>122</v>
      </c>
      <c r="K19" s="24" t="e">
        <f t="array" aca="1" ref="K19" ca="1">_xludf.XLOOKUP(J19,'1. AI위험 식별'!$E$6:$E$37,'1. AI위험 식별'!$O$6:$O$37,"")</f>
        <v>#NAME?</v>
      </c>
      <c r="L19" s="24" t="e">
        <f t="array" aca="1" ref="L19" ca="1">_xludf.XLOOKUP($K19,'2. AI위험 완화 방안 수립'!$E$6:$E$37,'2. AI위험 완화 방안 수립'!$N$6:$N$37,"")</f>
        <v>#NAME?</v>
      </c>
      <c r="M19" s="24" t="e">
        <f t="array" aca="1" ref="M19" ca="1">_xludf.XLOOKUP($K19,'2. AI위험 완화 방안 수립'!$E$6:$E$37,'2. AI위험 완화 방안 수립'!$R$6:$R$37,"")</f>
        <v>#NAME?</v>
      </c>
      <c r="N19" s="24" t="e">
        <f t="array" aca="1" ref="N19" ca="1">_xludf.XLOOKUP(I19,'3. 잔여 AI 위험 평가'!$E$7:$E$38,'3. 잔여 AI 위험 평가'!$O$7:$O$38,"")</f>
        <v>#NAME?</v>
      </c>
    </row>
    <row r="20" spans="1:14" ht="30" customHeight="1">
      <c r="A20" s="2"/>
      <c r="B20" s="13" t="s">
        <v>223</v>
      </c>
      <c r="C20" s="13" t="s">
        <v>226</v>
      </c>
      <c r="D20" s="16">
        <f>COUNTIFS('1. AI위험 식별'!$D$6:$D$37,C20,'1. AI위험 식별'!$O$6:$O$37,"yes")</f>
        <v>0</v>
      </c>
      <c r="E20" s="16" t="e">
        <f ca="1">SUMIF('3. 잔여 AI 위험 평가'!$D$7:$D$38,'0. 위험평가 결과 요약'!C20,'3. 잔여 AI 위험 평가'!$T$7:$T$38)</f>
        <v>#NAME?</v>
      </c>
      <c r="F20" s="2"/>
      <c r="G20" s="12">
        <v>14</v>
      </c>
      <c r="H20" s="13" t="s">
        <v>215</v>
      </c>
      <c r="I20" s="13" t="s">
        <v>222</v>
      </c>
      <c r="J20" s="13" t="s">
        <v>131</v>
      </c>
      <c r="K20" s="24" t="e">
        <f t="array" aca="1" ref="K20" ca="1">_xludf.XLOOKUP(J20,'1. AI위험 식별'!$E$6:$E$37,'1. AI위험 식별'!$O$6:$O$37,"")</f>
        <v>#NAME?</v>
      </c>
      <c r="L20" s="24" t="e">
        <f t="array" aca="1" ref="L20" ca="1">_xludf.XLOOKUP($K20,'2. AI위험 완화 방안 수립'!$E$6:$E$37,'2. AI위험 완화 방안 수립'!$N$6:$N$37,"")</f>
        <v>#NAME?</v>
      </c>
      <c r="M20" s="24" t="e">
        <f t="array" aca="1" ref="M20" ca="1">_xludf.XLOOKUP($K20,'2. AI위험 완화 방안 수립'!$E$6:$E$37,'2. AI위험 완화 방안 수립'!$R$6:$R$37,"")</f>
        <v>#NAME?</v>
      </c>
      <c r="N20" s="24" t="e">
        <f t="array" aca="1" ref="N20" ca="1">_xludf.XLOOKUP(I20,'3. 잔여 AI 위험 평가'!$E$7:$E$38,'3. 잔여 AI 위험 평가'!$O$7:$O$38,"")</f>
        <v>#NAME?</v>
      </c>
    </row>
    <row r="21" spans="1:14" ht="30" customHeight="1">
      <c r="A21" s="2"/>
      <c r="B21" s="65" t="s">
        <v>273</v>
      </c>
      <c r="C21" s="66"/>
      <c r="D21" s="35">
        <f t="shared" ref="D21:E21" si="2">SUM(D18:D20)</f>
        <v>0</v>
      </c>
      <c r="E21" s="35" t="e">
        <f t="shared" ca="1" si="2"/>
        <v>#NAME?</v>
      </c>
      <c r="F21" s="2"/>
      <c r="G21" s="12">
        <v>15</v>
      </c>
      <c r="H21" s="13" t="s">
        <v>215</v>
      </c>
      <c r="I21" s="13" t="s">
        <v>222</v>
      </c>
      <c r="J21" s="13" t="s">
        <v>141</v>
      </c>
      <c r="K21" s="24" t="e">
        <f t="array" aca="1" ref="K21" ca="1">_xludf.XLOOKUP(J21,'1. AI위험 식별'!$E$6:$E$37,'1. AI위험 식별'!$O$6:$O$37,"")</f>
        <v>#NAME?</v>
      </c>
      <c r="L21" s="24" t="e">
        <f t="array" aca="1" ref="L21" ca="1">_xludf.XLOOKUP($K21,'2. AI위험 완화 방안 수립'!$E$6:$E$37,'2. AI위험 완화 방안 수립'!$N$6:$N$37,"")</f>
        <v>#NAME?</v>
      </c>
      <c r="M21" s="24" t="e">
        <f t="array" aca="1" ref="M21" ca="1">_xludf.XLOOKUP($K21,'2. AI위험 완화 방안 수립'!$E$6:$E$37,'2. AI위험 완화 방안 수립'!$R$6:$R$37,"")</f>
        <v>#NAME?</v>
      </c>
      <c r="N21" s="24" t="e">
        <f t="array" aca="1" ref="N21" ca="1">_xludf.XLOOKUP(I21,'3. 잔여 AI 위험 평가'!$E$7:$E$38,'3. 잔여 AI 위험 평가'!$O$7:$O$38,"")</f>
        <v>#NAME?</v>
      </c>
    </row>
    <row r="22" spans="1:14" ht="30" customHeight="1">
      <c r="A22" s="2"/>
      <c r="B22" s="13" t="s">
        <v>227</v>
      </c>
      <c r="C22" s="13" t="s">
        <v>228</v>
      </c>
      <c r="D22" s="16">
        <f>COUNTIFS('1. AI위험 식별'!$D$6:$D$37,C22,'1. AI위험 식별'!$O$6:$O$37,"yes")</f>
        <v>0</v>
      </c>
      <c r="E22" s="16" t="e">
        <f ca="1">SUMIF('3. 잔여 AI 위험 평가'!$D$7:$D$38,'0. 위험평가 결과 요약'!C22,'3. 잔여 AI 위험 평가'!$T$7:$T$38)</f>
        <v>#NAME?</v>
      </c>
      <c r="F22" s="2"/>
      <c r="G22" s="12">
        <v>16</v>
      </c>
      <c r="H22" s="13" t="s">
        <v>215</v>
      </c>
      <c r="I22" s="13" t="s">
        <v>222</v>
      </c>
      <c r="J22" s="13" t="s">
        <v>151</v>
      </c>
      <c r="K22" s="24" t="e">
        <f t="array" aca="1" ref="K22" ca="1">_xludf.XLOOKUP(J22,'1. AI위험 식별'!$E$6:$E$37,'1. AI위험 식별'!$O$6:$O$37,"")</f>
        <v>#NAME?</v>
      </c>
      <c r="L22" s="24" t="e">
        <f t="array" aca="1" ref="L22" ca="1">_xludf.XLOOKUP($K22,'2. AI위험 완화 방안 수립'!$E$6:$E$37,'2. AI위험 완화 방안 수립'!$N$6:$N$37,"")</f>
        <v>#NAME?</v>
      </c>
      <c r="M22" s="24" t="e">
        <f t="array" aca="1" ref="M22" ca="1">_xludf.XLOOKUP($K22,'2. AI위험 완화 방안 수립'!$E$6:$E$37,'2. AI위험 완화 방안 수립'!$R$6:$R$37,"")</f>
        <v>#NAME?</v>
      </c>
      <c r="N22" s="24" t="e">
        <f t="array" aca="1" ref="N22" ca="1">_xludf.XLOOKUP(I22,'3. 잔여 AI 위험 평가'!$E$7:$E$38,'3. 잔여 AI 위험 평가'!$O$7:$O$38,"")</f>
        <v>#NAME?</v>
      </c>
    </row>
    <row r="23" spans="1:14" ht="30" customHeight="1">
      <c r="A23" s="2"/>
      <c r="B23" s="13" t="s">
        <v>227</v>
      </c>
      <c r="C23" s="13" t="s">
        <v>285</v>
      </c>
      <c r="D23" s="16">
        <f>COUNTIFS('1. AI위험 식별'!$D$6:$D$37,C23,'1. AI위험 식별'!$O$6:$O$37,"yes")</f>
        <v>0</v>
      </c>
      <c r="E23" s="16">
        <f>SUMIF('3. 잔여 AI 위험 평가'!$D$7:$D$38,'0. 위험평가 결과 요약'!C23,'3. 잔여 AI 위험 평가'!$T$7:$T$38)</f>
        <v>0</v>
      </c>
      <c r="F23" s="2"/>
      <c r="G23" s="12">
        <v>17</v>
      </c>
      <c r="H23" s="13" t="s">
        <v>215</v>
      </c>
      <c r="I23" s="13" t="s">
        <v>222</v>
      </c>
      <c r="J23" s="13" t="s">
        <v>161</v>
      </c>
      <c r="K23" s="24" t="e">
        <f t="array" aca="1" ref="K23" ca="1">_xludf.XLOOKUP(J23,'1. AI위험 식별'!$E$6:$E$37,'1. AI위험 식별'!$O$6:$O$37,"")</f>
        <v>#NAME?</v>
      </c>
      <c r="L23" s="24" t="e">
        <f t="array" aca="1" ref="L23" ca="1">_xludf.XLOOKUP($K23,'2. AI위험 완화 방안 수립'!$E$6:$E$37,'2. AI위험 완화 방안 수립'!$N$6:$N$37,"")</f>
        <v>#NAME?</v>
      </c>
      <c r="M23" s="24" t="e">
        <f t="array" aca="1" ref="M23" ca="1">_xludf.XLOOKUP($K23,'2. AI위험 완화 방안 수립'!$E$6:$E$37,'2. AI위험 완화 방안 수립'!$R$6:$R$37,"")</f>
        <v>#NAME?</v>
      </c>
      <c r="N23" s="24" t="e">
        <f t="array" aca="1" ref="N23" ca="1">_xludf.XLOOKUP(I23,'3. 잔여 AI 위험 평가'!$E$7:$E$38,'3. 잔여 AI 위험 평가'!$O$7:$O$38,"")</f>
        <v>#NAME?</v>
      </c>
    </row>
    <row r="24" spans="1:14" ht="30" customHeight="1">
      <c r="A24" s="2"/>
      <c r="B24" s="13" t="s">
        <v>227</v>
      </c>
      <c r="C24" s="13" t="s">
        <v>236</v>
      </c>
      <c r="D24" s="16">
        <f>COUNTIFS('1. AI위험 식별'!$D$6:$D$37,C24,'1. AI위험 식별'!$O$6:$O$37,"yes")</f>
        <v>0</v>
      </c>
      <c r="E24" s="16" t="e">
        <f ca="1">SUMIF('3. 잔여 AI 위험 평가'!$D$7:$D$38,'0. 위험평가 결과 요약'!C24,'3. 잔여 AI 위험 평가'!$T$7:$T$38)</f>
        <v>#NAME?</v>
      </c>
      <c r="F24" s="2"/>
      <c r="G24" s="12">
        <v>18</v>
      </c>
      <c r="H24" s="13" t="s">
        <v>223</v>
      </c>
      <c r="I24" s="13" t="s">
        <v>224</v>
      </c>
      <c r="J24" s="13" t="s">
        <v>170</v>
      </c>
      <c r="K24" s="24" t="e">
        <f t="array" aca="1" ref="K24" ca="1">_xludf.XLOOKUP(J24,'1. AI위험 식별'!$E$6:$E$37,'1. AI위험 식별'!$O$6:$O$37,"")</f>
        <v>#NAME?</v>
      </c>
      <c r="L24" s="24" t="e">
        <f t="array" aca="1" ref="L24" ca="1">_xludf.XLOOKUP($K24,'2. AI위험 완화 방안 수립'!$E$6:$E$37,'2. AI위험 완화 방안 수립'!$N$6:$N$37,"")</f>
        <v>#NAME?</v>
      </c>
      <c r="M24" s="24" t="e">
        <f t="array" aca="1" ref="M24" ca="1">_xludf.XLOOKUP($K24,'2. AI위험 완화 방안 수립'!$E$6:$E$37,'2. AI위험 완화 방안 수립'!$R$6:$R$37,"")</f>
        <v>#NAME?</v>
      </c>
      <c r="N24" s="24" t="e">
        <f t="array" aca="1" ref="N24" ca="1">_xludf.XLOOKUP(I24,'3. 잔여 AI 위험 평가'!$E$7:$E$38,'3. 잔여 AI 위험 평가'!$O$7:$O$38,"")</f>
        <v>#NAME?</v>
      </c>
    </row>
    <row r="25" spans="1:14" ht="30" customHeight="1">
      <c r="A25" s="2"/>
      <c r="B25" s="13" t="s">
        <v>227</v>
      </c>
      <c r="C25" s="13" t="s">
        <v>239</v>
      </c>
      <c r="D25" s="16">
        <f>COUNTIFS('1. AI위험 식별'!$D$6:$D$37,C25,'1. AI위험 식별'!$O$6:$O$37,"yes")</f>
        <v>0</v>
      </c>
      <c r="E25" s="16" t="e">
        <f ca="1">SUMIF('3. 잔여 AI 위험 평가'!$D$7:$D$38,'0. 위험평가 결과 요약'!C25,'3. 잔여 AI 위험 평가'!$T$7:$T$38)</f>
        <v>#NAME?</v>
      </c>
      <c r="F25" s="2"/>
      <c r="G25" s="12">
        <v>19</v>
      </c>
      <c r="H25" s="13" t="s">
        <v>223</v>
      </c>
      <c r="I25" s="13" t="s">
        <v>225</v>
      </c>
      <c r="J25" s="13" t="s">
        <v>180</v>
      </c>
      <c r="K25" s="24" t="e">
        <f t="array" aca="1" ref="K25" ca="1">_xludf.XLOOKUP(J25,'1. AI위험 식별'!$E$6:$E$37,'1. AI위험 식별'!$O$6:$O$37,"")</f>
        <v>#NAME?</v>
      </c>
      <c r="L25" s="24" t="e">
        <f t="array" aca="1" ref="L25" ca="1">_xludf.XLOOKUP($K25,'2. AI위험 완화 방안 수립'!$E$6:$E$37,'2. AI위험 완화 방안 수립'!$N$6:$N$37,"")</f>
        <v>#NAME?</v>
      </c>
      <c r="M25" s="24" t="e">
        <f t="array" aca="1" ref="M25" ca="1">_xludf.XLOOKUP($K25,'2. AI위험 완화 방안 수립'!$E$6:$E$37,'2. AI위험 완화 방안 수립'!$R$6:$R$37,"")</f>
        <v>#NAME?</v>
      </c>
      <c r="N25" s="24" t="e">
        <f t="array" aca="1" ref="N25" ca="1">_xludf.XLOOKUP(I25,'3. 잔여 AI 위험 평가'!$E$7:$E$38,'3. 잔여 AI 위험 평가'!$O$7:$O$38,"")</f>
        <v>#NAME?</v>
      </c>
    </row>
    <row r="26" spans="1:14" ht="30" customHeight="1">
      <c r="A26" s="2"/>
      <c r="B26" s="65" t="s">
        <v>273</v>
      </c>
      <c r="C26" s="66"/>
      <c r="D26" s="35">
        <f t="shared" ref="D26:E26" si="3">SUM(D22:D25)</f>
        <v>0</v>
      </c>
      <c r="E26" s="35" t="e">
        <f t="shared" ca="1" si="3"/>
        <v>#NAME?</v>
      </c>
      <c r="F26" s="2"/>
      <c r="G26" s="12">
        <v>20</v>
      </c>
      <c r="H26" s="13" t="s">
        <v>223</v>
      </c>
      <c r="I26" s="13" t="s">
        <v>226</v>
      </c>
      <c r="J26" s="13" t="s">
        <v>73</v>
      </c>
      <c r="K26" s="24" t="e">
        <f t="array" aca="1" ref="K26" ca="1">_xludf.XLOOKUP(J26,'1. AI위험 식별'!$E$6:$E$37,'1. AI위험 식별'!$O$6:$O$37,"")</f>
        <v>#NAME?</v>
      </c>
      <c r="L26" s="24" t="e">
        <f t="array" aca="1" ref="L26" ca="1">_xludf.XLOOKUP($K26,'2. AI위험 완화 방안 수립'!$E$6:$E$37,'2. AI위험 완화 방안 수립'!$N$6:$N$37,"")</f>
        <v>#NAME?</v>
      </c>
      <c r="M26" s="24" t="e">
        <f t="array" aca="1" ref="M26" ca="1">_xludf.XLOOKUP($K26,'2. AI위험 완화 방안 수립'!$E$6:$E$37,'2. AI위험 완화 방안 수립'!$R$6:$R$37,"")</f>
        <v>#NAME?</v>
      </c>
      <c r="N26" s="24" t="e">
        <f t="array" aca="1" ref="N26" ca="1">_xludf.XLOOKUP(I26,'3. 잔여 AI 위험 평가'!$E$7:$E$38,'3. 잔여 AI 위험 평가'!$O$7:$O$38,"")</f>
        <v>#NAME?</v>
      </c>
    </row>
    <row r="27" spans="1:14" ht="30" customHeight="1">
      <c r="A27" s="2"/>
      <c r="B27" s="2"/>
      <c r="C27" s="2"/>
      <c r="D27" s="2"/>
      <c r="E27" s="2"/>
      <c r="F27" s="2"/>
      <c r="G27" s="12">
        <v>21</v>
      </c>
      <c r="H27" s="13" t="s">
        <v>223</v>
      </c>
      <c r="I27" s="13" t="s">
        <v>226</v>
      </c>
      <c r="J27" s="13" t="s">
        <v>83</v>
      </c>
      <c r="K27" s="24" t="e">
        <f t="array" aca="1" ref="K27" ca="1">_xludf.XLOOKUP(J27,'1. AI위험 식별'!$E$6:$E$37,'1. AI위험 식별'!$O$6:$O$37,"")</f>
        <v>#NAME?</v>
      </c>
      <c r="L27" s="24" t="e">
        <f t="array" aca="1" ref="L27" ca="1">_xludf.XLOOKUP($K27,'2. AI위험 완화 방안 수립'!$E$6:$E$37,'2. AI위험 완화 방안 수립'!$N$6:$N$37,"")</f>
        <v>#NAME?</v>
      </c>
      <c r="M27" s="24" t="e">
        <f t="array" aca="1" ref="M27" ca="1">_xludf.XLOOKUP($K27,'2. AI위험 완화 방안 수립'!$E$6:$E$37,'2. AI위험 완화 방안 수립'!$R$6:$R$37,"")</f>
        <v>#NAME?</v>
      </c>
      <c r="N27" s="24" t="e">
        <f t="array" aca="1" ref="N27" ca="1">_xludf.XLOOKUP(I27,'3. 잔여 AI 위험 평가'!$E$7:$E$38,'3. 잔여 AI 위험 평가'!$O$7:$O$38,"")</f>
        <v>#NAME?</v>
      </c>
    </row>
    <row r="28" spans="1:14" ht="30" customHeight="1">
      <c r="A28" s="2"/>
      <c r="B28" s="2"/>
      <c r="C28" s="2"/>
      <c r="D28" s="2"/>
      <c r="E28" s="2"/>
      <c r="F28" s="2"/>
      <c r="G28" s="12">
        <v>22</v>
      </c>
      <c r="H28" s="13" t="s">
        <v>227</v>
      </c>
      <c r="I28" s="13" t="s">
        <v>228</v>
      </c>
      <c r="J28" s="13" t="s">
        <v>229</v>
      </c>
      <c r="K28" s="24" t="e">
        <f t="array" aca="1" ref="K28" ca="1">_xludf.XLOOKUP(J28,'1. AI위험 식별'!$E$6:$E$37,'1. AI위험 식별'!$O$6:$O$37,"")</f>
        <v>#NAME?</v>
      </c>
      <c r="L28" s="24" t="e">
        <f t="array" aca="1" ref="L28" ca="1">_xludf.XLOOKUP($K28,'2. AI위험 완화 방안 수립'!$E$6:$E$37,'2. AI위험 완화 방안 수립'!$N$6:$N$37,"")</f>
        <v>#NAME?</v>
      </c>
      <c r="M28" s="24" t="e">
        <f t="array" aca="1" ref="M28" ca="1">_xludf.XLOOKUP($K28,'2. AI위험 완화 방안 수립'!$E$6:$E$37,'2. AI위험 완화 방안 수립'!$R$6:$R$37,"")</f>
        <v>#NAME?</v>
      </c>
      <c r="N28" s="24" t="e">
        <f t="array" aca="1" ref="N28" ca="1">_xludf.XLOOKUP(I28,'3. 잔여 AI 위험 평가'!$E$7:$E$38,'3. 잔여 AI 위험 평가'!$O$7:$O$38,"")</f>
        <v>#NAME?</v>
      </c>
    </row>
    <row r="29" spans="1:14" ht="30" customHeight="1">
      <c r="A29" s="2"/>
      <c r="B29" s="2"/>
      <c r="C29" s="2"/>
      <c r="D29" s="2"/>
      <c r="E29" s="2"/>
      <c r="F29" s="2"/>
      <c r="G29" s="12">
        <v>23</v>
      </c>
      <c r="H29" s="13" t="s">
        <v>227</v>
      </c>
      <c r="I29" s="13" t="s">
        <v>228</v>
      </c>
      <c r="J29" s="13" t="s">
        <v>230</v>
      </c>
      <c r="K29" s="24" t="e">
        <f t="array" aca="1" ref="K29" ca="1">_xludf.XLOOKUP(J29,'1. AI위험 식별'!$E$6:$E$37,'1. AI위험 식별'!$O$6:$O$37,"")</f>
        <v>#NAME?</v>
      </c>
      <c r="L29" s="24" t="e">
        <f t="array" aca="1" ref="L29" ca="1">_xludf.XLOOKUP($K29,'2. AI위험 완화 방안 수립'!$E$6:$E$37,'2. AI위험 완화 방안 수립'!$N$6:$N$37,"")</f>
        <v>#NAME?</v>
      </c>
      <c r="M29" s="24" t="e">
        <f t="array" aca="1" ref="M29" ca="1">_xludf.XLOOKUP($K29,'2. AI위험 완화 방안 수립'!$E$6:$E$37,'2. AI위험 완화 방안 수립'!$R$6:$R$37,"")</f>
        <v>#NAME?</v>
      </c>
      <c r="N29" s="24" t="e">
        <f t="array" aca="1" ref="N29" ca="1">_xludf.XLOOKUP(I29,'3. 잔여 AI 위험 평가'!$E$7:$E$38,'3. 잔여 AI 위험 평가'!$O$7:$O$38,"")</f>
        <v>#NAME?</v>
      </c>
    </row>
    <row r="30" spans="1:14" ht="30" customHeight="1">
      <c r="A30" s="2"/>
      <c r="B30" s="2"/>
      <c r="C30" s="2"/>
      <c r="D30" s="2"/>
      <c r="E30" s="2"/>
      <c r="F30" s="2"/>
      <c r="G30" s="12">
        <v>24</v>
      </c>
      <c r="H30" s="13" t="s">
        <v>227</v>
      </c>
      <c r="I30" s="13" t="s">
        <v>228</v>
      </c>
      <c r="J30" s="13" t="s">
        <v>231</v>
      </c>
      <c r="K30" s="24" t="e">
        <f t="array" aca="1" ref="K30" ca="1">_xludf.XLOOKUP(J30,'1. AI위험 식별'!$E$6:$E$37,'1. AI위험 식별'!$O$6:$O$37,"")</f>
        <v>#NAME?</v>
      </c>
      <c r="L30" s="24" t="e">
        <f t="array" aca="1" ref="L30" ca="1">_xludf.XLOOKUP($K30,'2. AI위험 완화 방안 수립'!$E$6:$E$37,'2. AI위험 완화 방안 수립'!$N$6:$N$37,"")</f>
        <v>#NAME?</v>
      </c>
      <c r="M30" s="24" t="e">
        <f t="array" aca="1" ref="M30" ca="1">_xludf.XLOOKUP($K30,'2. AI위험 완화 방안 수립'!$E$6:$E$37,'2. AI위험 완화 방안 수립'!$R$6:$R$37,"")</f>
        <v>#NAME?</v>
      </c>
      <c r="N30" s="24" t="e">
        <f t="array" aca="1" ref="N30" ca="1">_xludf.XLOOKUP(I30,'3. 잔여 AI 위험 평가'!$E$7:$E$38,'3. 잔여 AI 위험 평가'!$O$7:$O$38,"")</f>
        <v>#NAME?</v>
      </c>
    </row>
    <row r="31" spans="1:14" ht="30" customHeight="1">
      <c r="A31" s="2"/>
      <c r="B31" s="2"/>
      <c r="C31" s="2"/>
      <c r="D31" s="2"/>
      <c r="E31" s="2"/>
      <c r="F31" s="2"/>
      <c r="G31" s="12">
        <v>25</v>
      </c>
      <c r="H31" s="13" t="s">
        <v>227</v>
      </c>
      <c r="I31" s="13" t="s">
        <v>228</v>
      </c>
      <c r="J31" s="13" t="s">
        <v>232</v>
      </c>
      <c r="K31" s="24" t="e">
        <f t="array" aca="1" ref="K31" ca="1">_xludf.XLOOKUP(J31,'1. AI위험 식별'!$E$6:$E$37,'1. AI위험 식별'!$O$6:$O$37,"")</f>
        <v>#NAME?</v>
      </c>
      <c r="L31" s="24" t="e">
        <f t="array" aca="1" ref="L31" ca="1">_xludf.XLOOKUP($K31,'2. AI위험 완화 방안 수립'!$E$6:$E$37,'2. AI위험 완화 방안 수립'!$N$6:$N$37,"")</f>
        <v>#NAME?</v>
      </c>
      <c r="M31" s="24" t="e">
        <f t="array" aca="1" ref="M31" ca="1">_xludf.XLOOKUP($K31,'2. AI위험 완화 방안 수립'!$E$6:$E$37,'2. AI위험 완화 방안 수립'!$R$6:$R$37,"")</f>
        <v>#NAME?</v>
      </c>
      <c r="N31" s="24" t="e">
        <f t="array" aca="1" ref="N31" ca="1">_xludf.XLOOKUP(I31,'3. 잔여 AI 위험 평가'!$E$7:$E$38,'3. 잔여 AI 위험 평가'!$O$7:$O$38,"")</f>
        <v>#NAME?</v>
      </c>
    </row>
    <row r="32" spans="1:14" ht="30" customHeight="1">
      <c r="A32" s="2"/>
      <c r="B32" s="2"/>
      <c r="C32" s="2"/>
      <c r="D32" s="2"/>
      <c r="E32" s="2"/>
      <c r="F32" s="2"/>
      <c r="G32" s="12">
        <v>26</v>
      </c>
      <c r="H32" s="13" t="s">
        <v>227</v>
      </c>
      <c r="I32" s="13" t="s">
        <v>228</v>
      </c>
      <c r="J32" s="13" t="s">
        <v>233</v>
      </c>
      <c r="K32" s="24" t="e">
        <f t="array" aca="1" ref="K32" ca="1">_xludf.XLOOKUP(J32,'1. AI위험 식별'!$E$6:$E$37,'1. AI위험 식별'!$O$6:$O$37,"")</f>
        <v>#NAME?</v>
      </c>
      <c r="L32" s="24" t="e">
        <f t="array" aca="1" ref="L32" ca="1">_xludf.XLOOKUP($K32,'2. AI위험 완화 방안 수립'!$E$6:$E$37,'2. AI위험 완화 방안 수립'!$N$6:$N$37,"")</f>
        <v>#NAME?</v>
      </c>
      <c r="M32" s="24" t="e">
        <f t="array" aca="1" ref="M32" ca="1">_xludf.XLOOKUP($K32,'2. AI위험 완화 방안 수립'!$E$6:$E$37,'2. AI위험 완화 방안 수립'!$R$6:$R$37,"")</f>
        <v>#NAME?</v>
      </c>
      <c r="N32" s="24" t="e">
        <f t="array" aca="1" ref="N32" ca="1">_xludf.XLOOKUP(I32,'3. 잔여 AI 위험 평가'!$E$7:$E$38,'3. 잔여 AI 위험 평가'!$O$7:$O$38,"")</f>
        <v>#NAME?</v>
      </c>
    </row>
    <row r="33" spans="1:26" ht="30" customHeight="1">
      <c r="A33" s="2"/>
      <c r="B33" s="2"/>
      <c r="C33" s="2"/>
      <c r="D33" s="2"/>
      <c r="E33" s="2"/>
      <c r="F33" s="2"/>
      <c r="G33" s="12">
        <v>27</v>
      </c>
      <c r="H33" s="13" t="s">
        <v>227</v>
      </c>
      <c r="I33" s="13" t="s">
        <v>234</v>
      </c>
      <c r="J33" s="13" t="s">
        <v>235</v>
      </c>
      <c r="K33" s="24" t="e">
        <f t="array" aca="1" ref="K33" ca="1">_xludf.XLOOKUP(J33,'1. AI위험 식별'!$E$6:$E$37,'1. AI위험 식별'!$O$6:$O$37,"")</f>
        <v>#NAME?</v>
      </c>
      <c r="L33" s="24" t="e">
        <f t="array" aca="1" ref="L33" ca="1">_xludf.XLOOKUP($K33,'2. AI위험 완화 방안 수립'!$E$6:$E$37,'2. AI위험 완화 방안 수립'!$N$6:$N$37,"")</f>
        <v>#NAME?</v>
      </c>
      <c r="M33" s="24" t="e">
        <f t="array" aca="1" ref="M33" ca="1">_xludf.XLOOKUP($K33,'2. AI위험 완화 방안 수립'!$E$6:$E$37,'2. AI위험 완화 방안 수립'!$R$6:$R$37,"")</f>
        <v>#NAME?</v>
      </c>
      <c r="N33" s="24" t="e">
        <f t="array" aca="1" ref="N33" ca="1">_xludf.XLOOKUP(I33,'3. 잔여 AI 위험 평가'!$E$7:$E$38,'3. 잔여 AI 위험 평가'!$O$7:$O$38,"")</f>
        <v>#NAME?</v>
      </c>
    </row>
    <row r="34" spans="1:26" ht="30" customHeight="1">
      <c r="A34" s="2"/>
      <c r="B34" s="2"/>
      <c r="C34" s="2"/>
      <c r="D34" s="2"/>
      <c r="E34" s="2"/>
      <c r="F34" s="2"/>
      <c r="G34" s="12">
        <v>28</v>
      </c>
      <c r="H34" s="13" t="s">
        <v>227</v>
      </c>
      <c r="I34" s="13" t="s">
        <v>236</v>
      </c>
      <c r="J34" s="13" t="s">
        <v>237</v>
      </c>
      <c r="K34" s="24" t="e">
        <f t="array" aca="1" ref="K34" ca="1">_xludf.XLOOKUP(J34,'1. AI위험 식별'!$E$6:$E$37,'1. AI위험 식별'!$O$6:$O$37,"")</f>
        <v>#NAME?</v>
      </c>
      <c r="L34" s="24" t="e">
        <f t="array" aca="1" ref="L34" ca="1">_xludf.XLOOKUP($K34,'2. AI위험 완화 방안 수립'!$E$6:$E$37,'2. AI위험 완화 방안 수립'!$N$6:$N$37,"")</f>
        <v>#NAME?</v>
      </c>
      <c r="M34" s="24" t="e">
        <f t="array" aca="1" ref="M34" ca="1">_xludf.XLOOKUP($K34,'2. AI위험 완화 방안 수립'!$E$6:$E$37,'2. AI위험 완화 방안 수립'!$R$6:$R$37,"")</f>
        <v>#NAME?</v>
      </c>
      <c r="N34" s="24" t="e">
        <f t="array" aca="1" ref="N34" ca="1">_xludf.XLOOKUP(I34,'3. 잔여 AI 위험 평가'!$E$7:$E$38,'3. 잔여 AI 위험 평가'!$O$7:$O$38,"")</f>
        <v>#NAME?</v>
      </c>
    </row>
    <row r="35" spans="1:26" ht="30" customHeight="1">
      <c r="A35" s="2"/>
      <c r="B35" s="2"/>
      <c r="C35" s="2"/>
      <c r="D35" s="2"/>
      <c r="E35" s="2"/>
      <c r="F35" s="2"/>
      <c r="G35" s="12">
        <v>29</v>
      </c>
      <c r="H35" s="13" t="s">
        <v>227</v>
      </c>
      <c r="I35" s="13" t="s">
        <v>236</v>
      </c>
      <c r="J35" s="13" t="s">
        <v>238</v>
      </c>
      <c r="K35" s="24" t="e">
        <f t="array" aca="1" ref="K35" ca="1">_xludf.XLOOKUP(J35,'1. AI위험 식별'!$E$6:$E$37,'1. AI위험 식별'!$O$6:$O$37,"")</f>
        <v>#NAME?</v>
      </c>
      <c r="L35" s="24" t="e">
        <f t="array" aca="1" ref="L35" ca="1">_xludf.XLOOKUP($K35,'2. AI위험 완화 방안 수립'!$E$6:$E$37,'2. AI위험 완화 방안 수립'!$N$6:$N$37,"")</f>
        <v>#NAME?</v>
      </c>
      <c r="M35" s="24" t="e">
        <f t="array" aca="1" ref="M35" ca="1">_xludf.XLOOKUP($K35,'2. AI위험 완화 방안 수립'!$E$6:$E$37,'2. AI위험 완화 방안 수립'!$R$6:$R$37,"")</f>
        <v>#NAME?</v>
      </c>
      <c r="N35" s="24" t="e">
        <f t="array" aca="1" ref="N35" ca="1">_xludf.XLOOKUP(I35,'3. 잔여 AI 위험 평가'!$E$7:$E$38,'3. 잔여 AI 위험 평가'!$O$7:$O$38,"")</f>
        <v>#NAME?</v>
      </c>
    </row>
    <row r="36" spans="1:26" ht="30" customHeight="1">
      <c r="A36" s="2"/>
      <c r="B36" s="2"/>
      <c r="C36" s="2"/>
      <c r="D36" s="2"/>
      <c r="E36" s="2"/>
      <c r="F36" s="2"/>
      <c r="G36" s="12">
        <v>30</v>
      </c>
      <c r="H36" s="13" t="s">
        <v>227</v>
      </c>
      <c r="I36" s="13" t="s">
        <v>239</v>
      </c>
      <c r="J36" s="13" t="s">
        <v>240</v>
      </c>
      <c r="K36" s="24" t="e">
        <f t="array" aca="1" ref="K36" ca="1">_xludf.XLOOKUP(J36,'1. AI위험 식별'!$E$6:$E$37,'1. AI위험 식별'!$O$6:$O$37,"")</f>
        <v>#NAME?</v>
      </c>
      <c r="L36" s="24" t="e">
        <f t="array" aca="1" ref="L36" ca="1">_xludf.XLOOKUP($K36,'2. AI위험 완화 방안 수립'!$E$6:$E$37,'2. AI위험 완화 방안 수립'!$N$6:$N$37,"")</f>
        <v>#NAME?</v>
      </c>
      <c r="M36" s="24" t="e">
        <f t="array" aca="1" ref="M36" ca="1">_xludf.XLOOKUP($K36,'2. AI위험 완화 방안 수립'!$E$6:$E$37,'2. AI위험 완화 방안 수립'!$R$6:$R$37,"")</f>
        <v>#NAME?</v>
      </c>
      <c r="N36" s="24" t="e">
        <f t="array" aca="1" ref="N36" ca="1">_xludf.XLOOKUP(I36,'3. 잔여 AI 위험 평가'!$E$7:$E$38,'3. 잔여 AI 위험 평가'!$O$7:$O$38,"")</f>
        <v>#NAME?</v>
      </c>
    </row>
    <row r="37" spans="1:26" ht="30" customHeight="1">
      <c r="A37" s="2"/>
      <c r="B37" s="2"/>
      <c r="C37" s="2"/>
      <c r="D37" s="2"/>
      <c r="E37" s="2"/>
      <c r="F37" s="2"/>
      <c r="G37" s="12">
        <v>31</v>
      </c>
      <c r="H37" s="13" t="s">
        <v>227</v>
      </c>
      <c r="I37" s="13" t="s">
        <v>239</v>
      </c>
      <c r="J37" s="13" t="s">
        <v>241</v>
      </c>
      <c r="K37" s="24" t="e">
        <f t="array" aca="1" ref="K37" ca="1">_xludf.XLOOKUP(J37,'1. AI위험 식별'!$E$6:$E$37,'1. AI위험 식별'!$O$6:$O$37,"")</f>
        <v>#NAME?</v>
      </c>
      <c r="L37" s="24" t="e">
        <f t="array" aca="1" ref="L37" ca="1">_xludf.XLOOKUP($K37,'2. AI위험 완화 방안 수립'!$E$6:$E$37,'2. AI위험 완화 방안 수립'!$N$6:$N$37,"")</f>
        <v>#NAME?</v>
      </c>
      <c r="M37" s="24" t="e">
        <f t="array" aca="1" ref="M37" ca="1">_xludf.XLOOKUP($K37,'2. AI위험 완화 방안 수립'!$E$6:$E$37,'2. AI위험 완화 방안 수립'!$R$6:$R$37,"")</f>
        <v>#NAME?</v>
      </c>
      <c r="N37" s="24" t="e">
        <f t="array" aca="1" ref="N37" ca="1">_xludf.XLOOKUP(I37,'3. 잔여 AI 위험 평가'!$E$7:$E$38,'3. 잔여 AI 위험 평가'!$O$7:$O$38,"")</f>
        <v>#NAME?</v>
      </c>
    </row>
    <row r="38" spans="1:26" ht="30" customHeight="1">
      <c r="A38" s="2"/>
      <c r="B38" s="2"/>
      <c r="C38" s="2"/>
      <c r="D38" s="2"/>
      <c r="E38" s="2"/>
      <c r="F38" s="2"/>
      <c r="G38" s="12">
        <v>32</v>
      </c>
      <c r="H38" s="13" t="s">
        <v>227</v>
      </c>
      <c r="I38" s="13" t="s">
        <v>239</v>
      </c>
      <c r="J38" s="13" t="s">
        <v>242</v>
      </c>
      <c r="K38" s="24" t="e">
        <f t="array" aca="1" ref="K38" ca="1">_xludf.XLOOKUP(J38,'1. AI위험 식별'!$E$6:$E$37,'1. AI위험 식별'!$O$6:$O$37,"")</f>
        <v>#NAME?</v>
      </c>
      <c r="L38" s="24" t="e">
        <f t="array" aca="1" ref="L38" ca="1">_xludf.XLOOKUP($K38,'2. AI위험 완화 방안 수립'!$E$6:$E$37,'2. AI위험 완화 방안 수립'!$N$6:$N$37,"")</f>
        <v>#NAME?</v>
      </c>
      <c r="M38" s="24" t="e">
        <f t="array" aca="1" ref="M38" ca="1">_xludf.XLOOKUP($K38,'2. AI위험 완화 방안 수립'!$E$6:$E$37,'2. AI위험 완화 방안 수립'!$R$6:$R$37,"")</f>
        <v>#NAME?</v>
      </c>
      <c r="N38" s="24" t="e">
        <f t="array" aca="1" ref="N38" ca="1">_xludf.XLOOKUP(I38,'3. 잔여 AI 위험 평가'!$E$7:$E$38,'3. 잔여 AI 위험 평가'!$O$7:$O$38,"")</f>
        <v>#NAME?</v>
      </c>
    </row>
    <row r="39" spans="1:26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/>
    <row r="41" spans="1:26" ht="17.25" customHeight="1"/>
    <row r="42" spans="1:26" ht="17.25" customHeight="1"/>
    <row r="43" spans="1:26" ht="17.25" customHeight="1"/>
    <row r="44" spans="1:26" ht="17.25" customHeight="1"/>
    <row r="45" spans="1:26" ht="17.25" customHeight="1"/>
    <row r="46" spans="1:26" ht="17.25" customHeight="1"/>
    <row r="47" spans="1:26" ht="17.25" customHeight="1"/>
    <row r="48" spans="1:26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5">
    <mergeCell ref="L5:M5"/>
    <mergeCell ref="B11:C11"/>
    <mergeCell ref="B17:C17"/>
    <mergeCell ref="B21:C21"/>
    <mergeCell ref="B26:C26"/>
  </mergeCells>
  <phoneticPr fontId="10" type="noConversion"/>
  <conditionalFormatting sqref="C4">
    <cfRule type="expression" dxfId="3" priority="1">
      <formula>$C$4=#REF!</formula>
    </cfRule>
    <cfRule type="expression" dxfId="2" priority="2">
      <formula>$C$4=#REF!</formula>
    </cfRule>
    <cfRule type="expression" dxfId="1" priority="3">
      <formula>$C$4=#REF!</formula>
    </cfRule>
    <cfRule type="expression" dxfId="0" priority="4">
      <formula>$C$4=#REF!</formula>
    </cfRule>
  </conditionalFormatting>
  <pageMargins left="0.7" right="0.7" top="0.75" bottom="0.75" header="0" footer="0"/>
  <pageSetup paperSize="9" scale="3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1" ma:contentTypeDescription="Create a new document." ma:contentTypeScope="" ma:versionID="ac4e8b5e424075323024da34dfed7ab7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b3acacfc7b8f27a5e50f6f243b1f7b76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4e75e4-fe8a-42ea-8266-b68b6e213225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E0EA75-58BE-448E-9867-A36739FF8F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2ee0d-e524-4888-b581-1910cadcd210"/>
    <ds:schemaRef ds:uri="525df02f-3aee-47af-b2f3-c2ea8bcae9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CF7CCD-9694-4BAF-82F9-ED908E62028B}">
  <ds:schemaRefs>
    <ds:schemaRef ds:uri="http://schemas.microsoft.com/office/2006/metadata/properties"/>
    <ds:schemaRef ds:uri="http://schemas.microsoft.com/office/infopath/2007/PartnerControls"/>
    <ds:schemaRef ds:uri="525df02f-3aee-47af-b2f3-c2ea8bcae9a6"/>
    <ds:schemaRef ds:uri="5192ee0d-e524-4888-b581-1910cadcd210"/>
  </ds:schemaRefs>
</ds:datastoreItem>
</file>

<file path=customXml/itemProps3.xml><?xml version="1.0" encoding="utf-8"?>
<ds:datastoreItem xmlns:ds="http://schemas.openxmlformats.org/officeDocument/2006/customXml" ds:itemID="{0657A670-4FA8-42D0-97C9-A85C8C9529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위험-평가방안-완화방안 맵핑</vt:lpstr>
      <vt:lpstr>1. AI위험 식별</vt:lpstr>
      <vt:lpstr>2. AI위험 완화 방안 수립</vt:lpstr>
      <vt:lpstr>3. 잔여 AI 위험 평가</vt:lpstr>
      <vt:lpstr>0. 위험평가 결과 요약</vt:lpstr>
      <vt:lpstr>'위험-평가방안-완화방안 맵핑'!_FilterDatabase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Keunjae Ryoo</dc:creator>
  <cp:lastModifiedBy>Jong-Min La</cp:lastModifiedBy>
  <dcterms:created xsi:type="dcterms:W3CDTF">2025-09-09T06:07:41Z</dcterms:created>
  <dcterms:modified xsi:type="dcterms:W3CDTF">2026-02-25T07:34:43Z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  <property fmtid="{D5CDD505-2E9C-101B-9397-08002B2CF9AE}" pid="3" name="MediaServiceImageTags">
    <vt:lpwstr/>
  </property>
</Properties>
</file>