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.sharepoint.com/sites/2025b5f042d8/Shared Documents/General/10. 현황분석/12. AI거버넌스(데이터포함)/AI거버넌스/★ 최종/3. AI거버넌스지원도구 (템플릿 및 체크리스트)/"/>
    </mc:Choice>
  </mc:AlternateContent>
  <xr:revisionPtr revIDLastSave="185" documentId="8_{10C6DAF6-D0E5-4526-BCFD-3861AC8AA045}" xr6:coauthVersionLast="47" xr6:coauthVersionMax="47" xr10:uidLastSave="{F361C832-CC45-4FAD-A29A-9B805A465CD3}"/>
  <bookViews>
    <workbookView xWindow="-28905" yWindow="0" windowWidth="23250" windowHeight="15585" tabRatio="903" activeTab="3" xr2:uid="{4891E842-78F2-4AA6-B6CF-2DA540C7B52F}"/>
  </bookViews>
  <sheets>
    <sheet name="표지" sheetId="14" r:id="rId1"/>
    <sheet name="제개정이력" sheetId="15" r:id="rId2"/>
    <sheet name="문서개요" sheetId="31" r:id="rId3"/>
    <sheet name="1. 영향 평가서" sheetId="30" r:id="rId4"/>
    <sheet name="2. 고영향 책무 " sheetId="20" r:id="rId5"/>
    <sheet name="3-1. 위험(안전성) 평가 요약" sheetId="22" r:id="rId6"/>
    <sheet name="3-2. AI위험(안전성) 식별 및 평가" sheetId="23" r:id="rId7"/>
    <sheet name="(서식예시) AI위험평가서(위험ID)" sheetId="24" r:id="rId8"/>
    <sheet name="Reference)" sheetId="25" r:id="rId9"/>
    <sheet name="(Ref.)AI안전성 위험상세" sheetId="26" r:id="rId10"/>
    <sheet name="(Ref.)위험수준 평가 기준" sheetId="27" r:id="rId11"/>
    <sheet name="(Ref.)관련 법·가이드·프레임워크(S#)" sheetId="28" r:id="rId12"/>
    <sheet name="(Ref.)위험관리실천방법" sheetId="29" r:id="rId13"/>
  </sheets>
  <definedNames>
    <definedName name="_xlnm._FilterDatabase" localSheetId="9" hidden="1">'(Ref.)AI안전성 위험상세'!$B$2:$P$38</definedName>
    <definedName name="_xlnm._FilterDatabase" localSheetId="3" hidden="1">'1. 영향 평가서'!$A$19:$H$19</definedName>
    <definedName name="_xlnm._FilterDatabase" localSheetId="4" hidden="1">'2. 고영향 책무 '!$B$14:$E$34</definedName>
    <definedName name="_xlnm._FilterDatabase" localSheetId="5" hidden="1">'3-1. 위험(안전성) 평가 요약'!$F$6:$I$42</definedName>
    <definedName name="_xlnm._FilterDatabase" localSheetId="6" hidden="1">'3-2. AI위험(안전성) 식별 및 평가'!$A$6:$AG$6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9">'(Ref.)AI안전성 위험상세'!$A$1:$P$39</definedName>
    <definedName name="_xlnm.Print_Area" localSheetId="11">'(Ref.)관련 법·가이드·프레임워크(S#)'!$A$1:$L$15</definedName>
    <definedName name="_xlnm.Print_Area" localSheetId="12">'(Ref.)위험관리실천방법'!$A$1:$E$14</definedName>
    <definedName name="_xlnm.Print_Area" localSheetId="7">'(서식예시) AI위험평가서(위험ID)'!$A$1:$F$27</definedName>
    <definedName name="_xlnm.Print_Area" localSheetId="3">'1. 영향 평가서'!$A$1:$H$31</definedName>
    <definedName name="_xlnm.Print_Area" localSheetId="6">'3-2. AI위험(안전성) 식별 및 평가'!$A$1:$AJ$43</definedName>
    <definedName name="_xlnm.Print_Area" localSheetId="0">표지!$A$1:$O$18</definedName>
    <definedName name="q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 localSheetId="1">#REF!</definedName>
    <definedName name="문서명">표지!$O$5</definedName>
    <definedName name="프로젝트명" localSheetId="1">#REF!</definedName>
    <definedName name="프로젝트명">표지!$O$4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4" l="1"/>
  <c r="C26" i="24"/>
  <c r="C24" i="24"/>
  <c r="E24" i="24" s="1"/>
  <c r="W42" i="23"/>
  <c r="X42" i="23" s="1"/>
  <c r="L42" i="22" s="1"/>
  <c r="W41" i="23"/>
  <c r="X41" i="23" s="1"/>
  <c r="L41" i="22" s="1"/>
  <c r="W40" i="23"/>
  <c r="X40" i="23" s="1"/>
  <c r="L40" i="22" s="1"/>
  <c r="W39" i="23"/>
  <c r="X39" i="23" s="1"/>
  <c r="L39" i="22" s="1"/>
  <c r="X38" i="23"/>
  <c r="W38" i="23"/>
  <c r="W37" i="23"/>
  <c r="X37" i="23" s="1"/>
  <c r="L37" i="22" s="1"/>
  <c r="W36" i="23"/>
  <c r="X36" i="23" s="1"/>
  <c r="L36" i="22" s="1"/>
  <c r="W35" i="23"/>
  <c r="X35" i="23" s="1"/>
  <c r="L35" i="22" s="1"/>
  <c r="W34" i="23"/>
  <c r="X34" i="23" s="1"/>
  <c r="L34" i="22" s="1"/>
  <c r="W33" i="23"/>
  <c r="X33" i="23" s="1"/>
  <c r="L33" i="22" s="1"/>
  <c r="X32" i="23"/>
  <c r="W32" i="23"/>
  <c r="W31" i="23"/>
  <c r="X31" i="23" s="1"/>
  <c r="L31" i="22" s="1"/>
  <c r="W30" i="23"/>
  <c r="X30" i="23" s="1"/>
  <c r="L30" i="22" s="1"/>
  <c r="W29" i="23"/>
  <c r="X29" i="23" s="1"/>
  <c r="L29" i="22" s="1"/>
  <c r="W28" i="23"/>
  <c r="X28" i="23" s="1"/>
  <c r="L28" i="22" s="1"/>
  <c r="W27" i="23"/>
  <c r="X27" i="23" s="1"/>
  <c r="L27" i="22" s="1"/>
  <c r="X26" i="23"/>
  <c r="W26" i="23"/>
  <c r="W25" i="23"/>
  <c r="X25" i="23" s="1"/>
  <c r="L25" i="22" s="1"/>
  <c r="W24" i="23"/>
  <c r="X24" i="23" s="1"/>
  <c r="L24" i="22" s="1"/>
  <c r="W23" i="23"/>
  <c r="X23" i="23" s="1"/>
  <c r="L23" i="22" s="1"/>
  <c r="W22" i="23"/>
  <c r="X22" i="23" s="1"/>
  <c r="L22" i="22" s="1"/>
  <c r="W21" i="23"/>
  <c r="X21" i="23" s="1"/>
  <c r="L21" i="22" s="1"/>
  <c r="X20" i="23"/>
  <c r="W20" i="23"/>
  <c r="W19" i="23"/>
  <c r="X19" i="23" s="1"/>
  <c r="L19" i="22" s="1"/>
  <c r="W18" i="23"/>
  <c r="X18" i="23" s="1"/>
  <c r="L18" i="22" s="1"/>
  <c r="W17" i="23"/>
  <c r="X17" i="23" s="1"/>
  <c r="L17" i="22" s="1"/>
  <c r="W16" i="23"/>
  <c r="X16" i="23" s="1"/>
  <c r="L16" i="22" s="1"/>
  <c r="W15" i="23"/>
  <c r="X15" i="23" s="1"/>
  <c r="L15" i="22" s="1"/>
  <c r="X14" i="23"/>
  <c r="W14" i="23"/>
  <c r="W13" i="23"/>
  <c r="X13" i="23" s="1"/>
  <c r="L13" i="22" s="1"/>
  <c r="W12" i="23"/>
  <c r="X12" i="23" s="1"/>
  <c r="L12" i="22" s="1"/>
  <c r="W11" i="23"/>
  <c r="X11" i="23" s="1"/>
  <c r="L11" i="22" s="1"/>
  <c r="W10" i="23"/>
  <c r="X10" i="23" s="1"/>
  <c r="L10" i="22" s="1"/>
  <c r="W9" i="23"/>
  <c r="X9" i="23" s="1"/>
  <c r="L9" i="22" s="1"/>
  <c r="X8" i="23"/>
  <c r="W8" i="23"/>
  <c r="W7" i="23"/>
  <c r="X7" i="23" s="1"/>
  <c r="L7" i="22" s="1"/>
  <c r="M42" i="22"/>
  <c r="K42" i="22"/>
  <c r="J42" i="22"/>
  <c r="M41" i="22"/>
  <c r="K41" i="22"/>
  <c r="J41" i="22"/>
  <c r="M40" i="22"/>
  <c r="K40" i="22"/>
  <c r="J40" i="22"/>
  <c r="M39" i="22"/>
  <c r="K39" i="22"/>
  <c r="J39" i="22"/>
  <c r="M38" i="22"/>
  <c r="L38" i="22"/>
  <c r="K38" i="22"/>
  <c r="J38" i="22"/>
  <c r="M37" i="22"/>
  <c r="K37" i="22"/>
  <c r="J37" i="22"/>
  <c r="M36" i="22"/>
  <c r="K36" i="22"/>
  <c r="J36" i="22"/>
  <c r="M35" i="22"/>
  <c r="K35" i="22"/>
  <c r="J35" i="22"/>
  <c r="M34" i="22"/>
  <c r="K34" i="22"/>
  <c r="J34" i="22"/>
  <c r="M33" i="22"/>
  <c r="K33" i="22"/>
  <c r="J33" i="22"/>
  <c r="M32" i="22"/>
  <c r="L32" i="22"/>
  <c r="K32" i="22"/>
  <c r="J32" i="22"/>
  <c r="M31" i="22"/>
  <c r="K31" i="22"/>
  <c r="J31" i="22"/>
  <c r="M30" i="22"/>
  <c r="K30" i="22"/>
  <c r="J30" i="22"/>
  <c r="M29" i="22"/>
  <c r="K29" i="22"/>
  <c r="J29" i="22"/>
  <c r="M28" i="22"/>
  <c r="K28" i="22"/>
  <c r="J28" i="22"/>
  <c r="M27" i="22"/>
  <c r="K27" i="22"/>
  <c r="J27" i="22"/>
  <c r="M26" i="22"/>
  <c r="L26" i="22"/>
  <c r="K26" i="22"/>
  <c r="J26" i="22"/>
  <c r="M25" i="22"/>
  <c r="K25" i="22"/>
  <c r="J25" i="22"/>
  <c r="M24" i="22"/>
  <c r="K24" i="22"/>
  <c r="J24" i="22"/>
  <c r="M23" i="22"/>
  <c r="K23" i="22"/>
  <c r="J23" i="22"/>
  <c r="M22" i="22"/>
  <c r="K22" i="22"/>
  <c r="J22" i="22"/>
  <c r="M21" i="22"/>
  <c r="K21" i="22"/>
  <c r="J21" i="22"/>
  <c r="M20" i="22"/>
  <c r="L20" i="22"/>
  <c r="K20" i="22"/>
  <c r="J20" i="22"/>
  <c r="M19" i="22"/>
  <c r="K19" i="22"/>
  <c r="J19" i="22"/>
  <c r="M18" i="22"/>
  <c r="K18" i="22"/>
  <c r="J18" i="22"/>
  <c r="M17" i="22"/>
  <c r="K17" i="22"/>
  <c r="J17" i="22"/>
  <c r="D17" i="22"/>
  <c r="M16" i="22"/>
  <c r="K16" i="22"/>
  <c r="J16" i="22"/>
  <c r="D16" i="22"/>
  <c r="M15" i="22"/>
  <c r="K15" i="22"/>
  <c r="J15" i="22"/>
  <c r="D15" i="22"/>
  <c r="M14" i="22"/>
  <c r="L14" i="22"/>
  <c r="K14" i="22"/>
  <c r="J14" i="22"/>
  <c r="M13" i="22"/>
  <c r="K13" i="22"/>
  <c r="J13" i="22"/>
  <c r="D13" i="22"/>
  <c r="M12" i="22"/>
  <c r="K12" i="22"/>
  <c r="J12" i="22"/>
  <c r="D12" i="22"/>
  <c r="M11" i="22"/>
  <c r="K11" i="22"/>
  <c r="J11" i="22"/>
  <c r="D11" i="22"/>
  <c r="M10" i="22"/>
  <c r="K10" i="22"/>
  <c r="J10" i="22"/>
  <c r="M9" i="22"/>
  <c r="K9" i="22"/>
  <c r="J9" i="22"/>
  <c r="D9" i="22"/>
  <c r="M8" i="22"/>
  <c r="L8" i="22"/>
  <c r="K8" i="22"/>
  <c r="J8" i="22"/>
  <c r="D8" i="22"/>
  <c r="M7" i="22"/>
  <c r="K7" i="22"/>
  <c r="J7" i="22"/>
  <c r="D7" i="22"/>
  <c r="D10" i="22" s="1"/>
</calcChain>
</file>

<file path=xl/sharedStrings.xml><?xml version="1.0" encoding="utf-8"?>
<sst xmlns="http://schemas.openxmlformats.org/spreadsheetml/2006/main" count="1254" uniqueCount="753">
  <si>
    <t>YYYY.MM.DD</t>
    <phoneticPr fontId="1" type="noConversion"/>
  </si>
  <si>
    <t>AI 서비스기획</t>
    <phoneticPr fontId="1" type="noConversion"/>
  </si>
  <si>
    <t>[AI거버넌스]</t>
    <phoneticPr fontId="1" type="noConversion"/>
  </si>
  <si>
    <t>작성/검토자</t>
    <phoneticPr fontId="30" type="noConversion"/>
  </si>
  <si>
    <t>구분</t>
    <phoneticPr fontId="30" type="noConversion"/>
  </si>
  <si>
    <t>소속</t>
    <phoneticPr fontId="32" type="noConversion"/>
  </si>
  <si>
    <t>직급</t>
    <phoneticPr fontId="33" type="noConversion"/>
  </si>
  <si>
    <t>성명</t>
    <phoneticPr fontId="32" type="noConversion"/>
  </si>
  <si>
    <t>일자</t>
    <phoneticPr fontId="32" type="noConversion"/>
  </si>
  <si>
    <t>작성자</t>
    <phoneticPr fontId="33" type="noConversion"/>
  </si>
  <si>
    <t>EY컨설팅</t>
    <phoneticPr fontId="1" type="noConversion"/>
  </si>
  <si>
    <t>부장</t>
    <phoneticPr fontId="1" type="noConversion"/>
  </si>
  <si>
    <t>나종민</t>
    <phoneticPr fontId="1" type="noConversion"/>
  </si>
  <si>
    <t>검토자</t>
    <phoneticPr fontId="33" type="noConversion"/>
  </si>
  <si>
    <t>승인자</t>
    <phoneticPr fontId="32" type="noConversion"/>
  </si>
  <si>
    <t>제/개정 이력</t>
    <phoneticPr fontId="30" type="noConversion"/>
  </si>
  <si>
    <t>제/개정 이력</t>
    <phoneticPr fontId="32" type="noConversion"/>
  </si>
  <si>
    <t>버전</t>
    <phoneticPr fontId="30" type="noConversion"/>
  </si>
  <si>
    <t>제/개정 페이지 및 수정 내용</t>
    <phoneticPr fontId="32" type="noConversion"/>
  </si>
  <si>
    <t>제/개정 일자</t>
    <phoneticPr fontId="32" type="noConversion"/>
  </si>
  <si>
    <t>제/개정자</t>
    <phoneticPr fontId="32" type="noConversion"/>
  </si>
  <si>
    <t xml:space="preserve">AI거버넌스 지원도구 설계- </t>
    <phoneticPr fontId="1" type="noConversion"/>
  </si>
  <si>
    <t xml:space="preserve">1. AI 서비스 개요 </t>
    <phoneticPr fontId="1" type="noConversion"/>
  </si>
  <si>
    <t>구분</t>
  </si>
  <si>
    <t>내용</t>
  </si>
  <si>
    <t>AI서비스명</t>
  </si>
  <si>
    <t>작성 대상</t>
  </si>
  <si>
    <t>점검항목</t>
  </si>
  <si>
    <t>점검 결과</t>
  </si>
  <si>
    <t xml:space="preserve">※ 본 보고서 양식 및 작성 내용은 AI거버넌스 업무지원을 위한 기본 서식으로, 필요 시 AI거버넌스 담당자와 사전협의를 통해 일부 수정할 수 있습니다. </t>
    <phoneticPr fontId="1" type="noConversion"/>
  </si>
  <si>
    <t>(서비스명 기입)</t>
    <phoneticPr fontId="1" type="noConversion"/>
  </si>
  <si>
    <t>고영향 책무 체크리스트</t>
    <phoneticPr fontId="1" type="noConversion"/>
  </si>
  <si>
    <t>2. 고영향 책무 체크리스트</t>
    <phoneticPr fontId="1" type="noConversion"/>
  </si>
  <si>
    <t>AI 서비스 중 고영향 AI서비스로 판단될 경우  
개발 전 라이프사이클 진행 시 본 체크리스트를 작성하여 
AI 서비스 운영 승인 요청서와 함께 제출
(단, 고영향 AI서비스가 아닐 경우 생략)</t>
    <phoneticPr fontId="1" type="noConversion"/>
  </si>
  <si>
    <t>위험관리방안의 
수립ㆍ운영</t>
    <phoneticPr fontId="1" type="noConversion"/>
  </si>
  <si>
    <t>사람의 관리 · 감독</t>
    <phoneticPr fontId="1" type="noConversion"/>
  </si>
  <si>
    <t>이용자 보호방안의 
수립ㆍ운영</t>
    <phoneticPr fontId="1" type="noConversion"/>
  </si>
  <si>
    <t>문서의 작성ㆍ보관</t>
    <phoneticPr fontId="1" type="noConversion"/>
  </si>
  <si>
    <t>고영향 AI의 위험관리를 위해 위험관리정책, 위험관리 조직체계를 수립 및 운영하고 있습니까?</t>
    <phoneticPr fontId="1" type="noConversion"/>
  </si>
  <si>
    <t>최신의 기술 및 관리방법론이 적용될 수 있도록 위험관리방안을 주기적으로 점검ㆍ갱신하고 그 변경내역을 관리했습니까?</t>
    <phoneticPr fontId="1" type="noConversion"/>
  </si>
  <si>
    <t>위험관리방안을 문서로 작성하여 관리하고 모든 과정에서 이를 준수하고 했습니까?</t>
    <phoneticPr fontId="1" type="noConversion"/>
  </si>
  <si>
    <t>AI서비스가 도출한 최종결과 및 기준 설명 방안을 수립하는 경우 기술적으로 가능한 범위에서 인공지능의 투명성 및 설명가능성을 확보</t>
    <phoneticPr fontId="1" type="noConversion"/>
  </si>
  <si>
    <t>인공지능 시스템의 명세, 구성요소, 추론 방식 등을 문서화하여 인공지능의 투명성을 확보하고 있는가?</t>
    <phoneticPr fontId="1" type="noConversion"/>
  </si>
  <si>
    <t>설명 가능성을 확보하기 위한 기술적 조치나 대안 조치를 적용하고 있는가?</t>
    <phoneticPr fontId="1" type="noConversion"/>
  </si>
  <si>
    <t xml:space="preserve">설명방안의 
수립ㆍ시행
(설명방안성 수립시) </t>
    <phoneticPr fontId="1" type="noConversion"/>
  </si>
  <si>
    <t>설명 가능성을 확보하기 위한 학습용데이터에 관한 정보의 체계적 관리를하고 있습니까?</t>
    <phoneticPr fontId="1" type="noConversion"/>
  </si>
  <si>
    <t>홈페이지에 게시, 전자문서의 제공 등의 방법으로 설명방안을 이용자에게 제공했습니까?</t>
    <phoneticPr fontId="1" type="noConversion"/>
  </si>
  <si>
    <t>AI서비스 개발 과정에서 이용자를 보호하기 위해 안전하고 적법한 데이터 수집 및 관리를 수행했습니까?</t>
    <phoneticPr fontId="1" type="noConversion"/>
  </si>
  <si>
    <t>AI서비스 개발 과정에서 이용자를 보호하기 위해 적대적 공격 등에 대응하기 위한 안전한 알고리즘 설계 및 모델을 개발했습니까?</t>
    <phoneticPr fontId="1" type="noConversion"/>
  </si>
  <si>
    <t>AI서비스 개발 과정에서 이용자를 보호하기 위해 다양하고 예외적인 상황을 고려한 시험 및 평가를 수행했습니까?</t>
    <phoneticPr fontId="1" type="noConversion"/>
  </si>
  <si>
    <t>AI서비스 운영 과정에서 이용자를 보호하기 위해 문제를 실시간으로 탐지하기 위한 모니터링 및 대응방안 수립했습니까?</t>
    <phoneticPr fontId="1" type="noConversion"/>
  </si>
  <si>
    <t>AI서비스 운영 과정에서 이용자를 보호하기 위해 이용자의 의견을 수렴하고 이에 기반하여 지속적으로 개선했습니까?</t>
    <phoneticPr fontId="1" type="noConversion"/>
  </si>
  <si>
    <t>AI서비스 운영 과정에서 이용자를 보호하기 위해 이용자의 권리를 보장하고 피해 발생 시 이를 보상할 수 있는 방안 수립했습니까?</t>
    <phoneticPr fontId="1" type="noConversion"/>
  </si>
  <si>
    <t>AI서비스 개발 과정에서 사람이 인공지능 동작에 개입할 수 있는 기준을 확립했습니까?</t>
    <phoneticPr fontId="1" type="noConversion"/>
  </si>
  <si>
    <t>AI서비스 개발 과정에서 사람이 즉각적으로 인공지능시스템을 정지하거나 작동을 변경할 수 있는 긴급 정지 기능 등의 개입 방법 마련했습니까?</t>
    <phoneticPr fontId="1" type="noConversion"/>
  </si>
  <si>
    <t>AI서비스 운영 과정에서 운영 중 사람의 관리·감독을 위해 성능저하 및 오류 발생에 대한 정기적인 점검계획 및 방안 마련했습니까?</t>
    <phoneticPr fontId="1" type="noConversion"/>
  </si>
  <si>
    <t>AI서비스 운영 과정에서 운영 중 사람의 관리·감독을 위해 인공지능의 범위 및 수행능력에 대한 이해도를 향상시키기 위한 교육 및 훈련을 제공했습니까?</t>
    <phoneticPr fontId="1" type="noConversion"/>
  </si>
  <si>
    <t>상기의 사항을 문서("안전신뢰문서"라 한다)로 작성하여 관리하고 있습니까?</t>
    <phoneticPr fontId="1" type="noConversion"/>
  </si>
  <si>
    <t>안전신뢰문서를 주기적으로 점검하고 최신의 기술, 방법론 등이 적용될 수 있도록 관리했습니까?</t>
    <phoneticPr fontId="1" type="noConversion"/>
  </si>
  <si>
    <t>점검 자료</t>
    <phoneticPr fontId="1" type="noConversion"/>
  </si>
  <si>
    <t>점검 자료명 기입</t>
    <phoneticPr fontId="1" type="noConversion"/>
  </si>
  <si>
    <t>Version 1.0</t>
    <phoneticPr fontId="1" type="noConversion"/>
  </si>
  <si>
    <t>1.0</t>
    <phoneticPr fontId="1" type="noConversion"/>
  </si>
  <si>
    <t>별첨03.고영향&amp;안전성 평가서</t>
    <phoneticPr fontId="1" type="noConversion"/>
  </si>
  <si>
    <t>문서 작성</t>
    <phoneticPr fontId="1" type="noConversion"/>
  </si>
  <si>
    <t>Sheet</t>
    <phoneticPr fontId="1" type="noConversion"/>
  </si>
  <si>
    <t>작성 내용</t>
    <phoneticPr fontId="1" type="noConversion"/>
  </si>
  <si>
    <t>작성 담당</t>
    <phoneticPr fontId="1" type="noConversion"/>
  </si>
  <si>
    <t>AI서비스기획
AI개발
AI거버넌스</t>
    <phoneticPr fontId="1" type="noConversion"/>
  </si>
  <si>
    <t>AI서비스기획</t>
    <phoneticPr fontId="1" type="noConversion"/>
  </si>
  <si>
    <t>■ 문서 버전관리</t>
    <phoneticPr fontId="1" type="noConversion"/>
  </si>
  <si>
    <t>작성/수정일</t>
    <phoneticPr fontId="1" type="noConversion"/>
  </si>
  <si>
    <t>작성자(부서/성명)</t>
    <phoneticPr fontId="1" type="noConversion"/>
  </si>
  <si>
    <t>주요 작성/수정 내용</t>
    <phoneticPr fontId="1" type="noConversion"/>
  </si>
  <si>
    <t>■ 위험(안전성) 평가 결과</t>
    <phoneticPr fontId="1" type="noConversion"/>
  </si>
  <si>
    <t>■ 위험(안전성) 식별 및 평가 요약</t>
    <phoneticPr fontId="1" type="noConversion"/>
  </si>
  <si>
    <t>위험(안전성) 점수</t>
    <phoneticPr fontId="1" type="noConversion"/>
  </si>
  <si>
    <t>1. AI 위험 식별</t>
    <phoneticPr fontId="1" type="noConversion"/>
  </si>
  <si>
    <t>2. AI 위험 완화 방안 수립</t>
  </si>
  <si>
    <t>3. 잔여 AI 위험 평가</t>
    <phoneticPr fontId="1" type="noConversion"/>
  </si>
  <si>
    <t>위험(Lv1)</t>
    <phoneticPr fontId="1" type="noConversion"/>
  </si>
  <si>
    <t>위험(Lv2)</t>
  </si>
  <si>
    <t>Lv3 기준 위험 개수</t>
    <phoneticPr fontId="1" type="noConversion"/>
  </si>
  <si>
    <t>No.</t>
    <phoneticPr fontId="1" type="noConversion"/>
  </si>
  <si>
    <t>위험(Lv3)</t>
  </si>
  <si>
    <t>위험 식별 여부</t>
    <phoneticPr fontId="1" type="noConversion"/>
  </si>
  <si>
    <t>위험 점수 총합</t>
    <phoneticPr fontId="1" type="noConversion"/>
  </si>
  <si>
    <t>대응조치</t>
    <phoneticPr fontId="1" type="noConversion"/>
  </si>
  <si>
    <t>완화 방안 적용 여부</t>
    <phoneticPr fontId="1" type="noConversion"/>
  </si>
  <si>
    <t>악용 (Malicious use)</t>
    <phoneticPr fontId="1" type="noConversion"/>
  </si>
  <si>
    <t>허위 정보로 인한 피해 (Harm through fake content)</t>
    <phoneticPr fontId="1" type="noConversion"/>
  </si>
  <si>
    <t>R-01</t>
  </si>
  <si>
    <t>임원 음성 딥페이크 송금 사기</t>
  </si>
  <si>
    <t>여론 조작 (Manipulation of public opinion)</t>
    <phoneticPr fontId="1" type="noConversion"/>
  </si>
  <si>
    <t>R-02</t>
  </si>
  <si>
    <t>가짜 리서치 리포트 유포</t>
  </si>
  <si>
    <t>사이버 범죄 (Cyber offence)</t>
    <phoneticPr fontId="1" type="noConversion"/>
  </si>
  <si>
    <t>R-03</t>
  </si>
  <si>
    <t>상담 녹취 합성에 따른 불완전판매 분쟁</t>
  </si>
  <si>
    <t>합계</t>
    <phoneticPr fontId="1" type="noConversion"/>
  </si>
  <si>
    <t>R-04</t>
  </si>
  <si>
    <t>여론조작 (Manipulation of public opinion)</t>
    <phoneticPr fontId="1" type="noConversion"/>
  </si>
  <si>
    <t>AI 루머 확산에 따른 시세 교란</t>
  </si>
  <si>
    <t>오작동 (Malfunctions)</t>
    <phoneticPr fontId="1" type="noConversion"/>
  </si>
  <si>
    <t>신뢰성 문제 (Reliability issues)</t>
    <phoneticPr fontId="1" type="noConversion"/>
  </si>
  <si>
    <t>R-05</t>
  </si>
  <si>
    <t>AI 분석 권위 포장에 의한 투자자 기만</t>
  </si>
  <si>
    <t>편향성 (Bias)</t>
    <phoneticPr fontId="1" type="noConversion"/>
  </si>
  <si>
    <t>R-06</t>
  </si>
  <si>
    <t>프롬프트 인젝션으로 내부 정보 유출</t>
  </si>
  <si>
    <t>통제 불능 (Loss of Control)</t>
    <phoneticPr fontId="1" type="noConversion"/>
  </si>
  <si>
    <t>R-07</t>
  </si>
  <si>
    <t>간접 프롬프트 인젝션(문서/웹)</t>
  </si>
  <si>
    <t>R-08</t>
  </si>
  <si>
    <t>데이터 포이즈닝으로 편향 분석 생성</t>
  </si>
  <si>
    <t>구조적 위험 (Systemic)</t>
    <phoneticPr fontId="1" type="noConversion"/>
  </si>
  <si>
    <t>노동시장 위험 (Labour market risks)</t>
    <phoneticPr fontId="1" type="noConversion"/>
  </si>
  <si>
    <t>R-09</t>
  </si>
  <si>
    <t>API 키 탈취로 무단 사용</t>
  </si>
  <si>
    <t>글로벌 AI 연구개발 격차 (Global AI R&amp;D divide)</t>
    <phoneticPr fontId="1" type="noConversion"/>
  </si>
  <si>
    <t>R-10</t>
  </si>
  <si>
    <t>환각으로 허위 투자 정보 생성</t>
  </si>
  <si>
    <t>시스템 중앙집중화 (System concentration)</t>
    <phoneticPr fontId="1" type="noConversion"/>
  </si>
  <si>
    <t>R-11</t>
  </si>
  <si>
    <t>요약 오류로 핵심 리스크 누락</t>
  </si>
  <si>
    <t>R-12</t>
  </si>
  <si>
    <t>규정·약관 오답 제공</t>
  </si>
  <si>
    <t>R-13</t>
  </si>
  <si>
    <t>코드 생성 오류로 리스크 산정 실패</t>
  </si>
  <si>
    <t>R-14</t>
  </si>
  <si>
    <t>고객군 편향으로 적합성 훼손</t>
  </si>
  <si>
    <t>R-15</t>
  </si>
  <si>
    <t>시장감시 모델 편향</t>
  </si>
  <si>
    <t>R-16</t>
  </si>
  <si>
    <t>통제 불능 (Loss of control)</t>
    <phoneticPr fontId="1" type="noConversion"/>
  </si>
  <si>
    <t>Automation bias로 감독 상실</t>
  </si>
  <si>
    <t>R-17</t>
  </si>
  <si>
    <t>자율 에이전트 연쇄 주문 실행</t>
  </si>
  <si>
    <t>R-18</t>
  </si>
  <si>
    <t>툴 오용으로 계좌/주문 API 실행</t>
  </si>
  <si>
    <t>R-19</t>
  </si>
  <si>
    <t>프롬프트·로그 내 개인정보 유출</t>
  </si>
  <si>
    <t>R-20</t>
  </si>
  <si>
    <t>정보 최신성 미반영</t>
  </si>
  <si>
    <t>R-21</t>
  </si>
  <si>
    <t>검증 역량 약화</t>
  </si>
  <si>
    <t>R-22</t>
  </si>
  <si>
    <t>해외 AI 벤더 종속</t>
  </si>
  <si>
    <t>R-23</t>
  </si>
  <si>
    <t>단일 LLM 장애로 서비스 마비</t>
  </si>
  <si>
    <t>R-24</t>
  </si>
  <si>
    <t>합성 신분으로 비대면 인증 우회</t>
  </si>
  <si>
    <t>R-25</t>
  </si>
  <si>
    <t>시스템 프롬프트 노출</t>
  </si>
  <si>
    <t>R-26</t>
  </si>
  <si>
    <t>모델 드리프트로 성능 저하</t>
  </si>
  <si>
    <t>R-27</t>
  </si>
  <si>
    <t>출처 왜곡으로 잘못된 결론 제시</t>
  </si>
  <si>
    <t>R-28</t>
  </si>
  <si>
    <t>차별적 표현 생성</t>
  </si>
  <si>
    <t>R-29</t>
  </si>
  <si>
    <t>인덱스에 개인정보 과다 포함</t>
  </si>
  <si>
    <t>R-30</t>
  </si>
  <si>
    <t>자율 플래닝으로 규정 우회</t>
  </si>
  <si>
    <t>R-31</t>
  </si>
  <si>
    <t>시장 코멘트가 투자권유로 오인</t>
  </si>
  <si>
    <t>R-32</t>
  </si>
  <si>
    <t>GenAI 기반 피싱 고도화</t>
  </si>
  <si>
    <t>R-33</t>
  </si>
  <si>
    <t>운영 인력 축소로 모니터링 공백</t>
  </si>
  <si>
    <t>R-34</t>
  </si>
  <si>
    <t>국외 규제·접근 제한으로 API 차단</t>
  </si>
  <si>
    <t>R-35</t>
  </si>
  <si>
    <t>검증 부족 상태로 운영 투입</t>
  </si>
  <si>
    <t>R-36</t>
  </si>
  <si>
    <t>챗봇 입력으로 개인정보 처리 범위 초과</t>
  </si>
  <si>
    <t>1. AI 위험(안전성) 식별</t>
    <phoneticPr fontId="1" type="noConversion"/>
  </si>
  <si>
    <t>2. AI 위험(안전성) 평가</t>
    <phoneticPr fontId="1" type="noConversion"/>
  </si>
  <si>
    <t>3. AI 위험(안전성) 완화 조치</t>
    <phoneticPr fontId="1" type="noConversion"/>
  </si>
  <si>
    <t xml:space="preserve">안전성 확보 대상의 책무를 이행하기 위해, 
AI 서비스에 해당하는 AI 위험(안전성) 식별(Lv.3 기준 해당 여부 Yes/No 선택) 및 사유 작성
[작성 가이드]
- 엑셀의 노란색 영역(F~O열)이 작성 영역입니다
- 위험 정의 시트((Ref.)AI안전성 위험상세)를 참고하여 해당 위험의 정의를 확인해 주세요
- AI 서비스가 위험에 해당하는지 F열에 Yes 혹은 No로 답변을 선택해 주시고, G~O열에 상세한 내용을 작성해 주세요. 
- 해당 위험을 식별한 담당자의 업무담당 소속을 H열에 기입해주세요 (예: AI 서비스기획, AI 개발)
- AI 서비스가 위험에 해당할 경우, 위험 식별 문서화(AI위험평가서)를 위해 I~O열을 작성해 주세요.  </t>
    <phoneticPr fontId="1" type="noConversion"/>
  </si>
  <si>
    <t xml:space="preserve">[작성 가이드]
- 엑설의 파란색 영역(Q~X열)이 작성 영역입니다. 
- 식별된 위험을 객관적이고 신뢰성 있게 평가하기 위하여, 위험 평가 전담 조직이 수행하며, 필요한 경우 외부 기관 또는 전문가의 참여시킬 수 있습니다. 
- 위험으로 식별된 경우 (F열이 Yes인 경우), 위험 식별번호를 기준으로 개별 위험 단위별로 평가를 수행해주세요.  Q~V열에 위험을 정량&amp;정성으로 평가해주세요. 기타 의견이 있는 경우, V열에 상세 검토 의견을 작성해 주세요.
  . 영향의 심각성: 위험이 현실화될 경우 사람의 생명䞻신체의 안전 또는 기본권, 공공의 안전에 미칠 수 있는 피해의 크기
  . 중대성: 위험이 실현될 경우 사회적䞻경제적䞻윤리적으로 미칠 수 있는 파급력의 범위와 정도
  . 실현 가능성: 위험이 실제로 발생할 수 있는 가능성으로서, 기술적 전제조건의 충족 여부, 악용 또는 오남용의 용이성, 과거 발생 사례 등을 종합적으로 고려
  . 빈도: 위험이 일회성에 그치지 않고 반복적으로 발생할 가능성
  . 관리 가능성: 위험 발생 시 기술적䞻조직적 수단을 통해 통제䞻완화할 수 있는 정도
- 위험 점수 총합 (W열)과 대응조치(X열)은 자동 업데이트 됩니다. 
 . 위험 점수 = (심각성 × 중대성) × (실현가능성 × 빈도) × (1/관리가능성)
 . 대응조치: 100점 이상: 즉시 조치 필요 / 20-99점: 1개월 내 대응 / 20점 미만: 정기 모니터링
- AI거버넌스담당자는 위험 평가 결과 검증(Y~Z열)을 수행한다. </t>
    <phoneticPr fontId="1" type="noConversion"/>
  </si>
  <si>
    <t>[작성 가이드]
- 엑셀의 초록색 영역(AF~AI열)이 작성 영역입니다
- 식별 및 평가된 AI위험(안전성)의 완화 조치를 실행해주세요.  위험 정의 시트를 참고하여 해당 위험의 정의를 확인해 주세요</t>
    <phoneticPr fontId="1" type="noConversion"/>
  </si>
  <si>
    <t>번호</t>
    <phoneticPr fontId="1" type="noConversion"/>
  </si>
  <si>
    <t>위험(Lv3)</t>
    <phoneticPr fontId="1" type="noConversion"/>
  </si>
  <si>
    <t>위험 해당 여부
(Yes / No)</t>
    <phoneticPr fontId="1" type="noConversion"/>
  </si>
  <si>
    <t>상세 검토 의견</t>
    <phoneticPr fontId="1" type="noConversion"/>
  </si>
  <si>
    <t>업무 담당</t>
    <phoneticPr fontId="1" type="noConversion"/>
  </si>
  <si>
    <t>위험 ID</t>
    <phoneticPr fontId="1" type="noConversion"/>
  </si>
  <si>
    <t>위험 구분</t>
    <phoneticPr fontId="1" type="noConversion"/>
  </si>
  <si>
    <t>위험식별 시점</t>
    <phoneticPr fontId="1" type="noConversion"/>
  </si>
  <si>
    <t>변경이력</t>
    <phoneticPr fontId="1" type="noConversion"/>
  </si>
  <si>
    <t>위험식별 방법</t>
    <phoneticPr fontId="1" type="noConversion"/>
  </si>
  <si>
    <t>위험식별 결과</t>
    <phoneticPr fontId="1" type="noConversion"/>
  </si>
  <si>
    <t>평가항목</t>
    <phoneticPr fontId="1" type="noConversion"/>
  </si>
  <si>
    <t>평가구분</t>
    <phoneticPr fontId="1" type="noConversion"/>
  </si>
  <si>
    <t>최초평가</t>
    <phoneticPr fontId="1" type="noConversion"/>
  </si>
  <si>
    <t>재평가</t>
    <phoneticPr fontId="1" type="noConversion"/>
  </si>
  <si>
    <t>평가주체</t>
    <phoneticPr fontId="1" type="noConversion"/>
  </si>
  <si>
    <t>위험 평가 결과 확인</t>
    <phoneticPr fontId="1" type="noConversion"/>
  </si>
  <si>
    <t>완화 방안 적용 여부
(Yes / No)</t>
    <phoneticPr fontId="1" type="noConversion"/>
  </si>
  <si>
    <t>완화 조치 시점</t>
    <phoneticPr fontId="1" type="noConversion"/>
  </si>
  <si>
    <t>위험 완화·제거 방법</t>
    <phoneticPr fontId="1" type="noConversion"/>
  </si>
  <si>
    <t>잔여 위험</t>
    <phoneticPr fontId="1" type="noConversion"/>
  </si>
  <si>
    <t>최초 식별</t>
    <phoneticPr fontId="1" type="noConversion"/>
  </si>
  <si>
    <t>재식별</t>
    <phoneticPr fontId="1" type="noConversion"/>
  </si>
  <si>
    <t>심각성</t>
    <phoneticPr fontId="1" type="noConversion"/>
  </si>
  <si>
    <t>중대성</t>
    <phoneticPr fontId="1" type="noConversion"/>
  </si>
  <si>
    <t>실현 가능성</t>
    <phoneticPr fontId="1" type="noConversion"/>
  </si>
  <si>
    <t>빈도</t>
    <phoneticPr fontId="1" type="noConversion"/>
  </si>
  <si>
    <t>관리 가능성</t>
    <phoneticPr fontId="1" type="noConversion"/>
  </si>
  <si>
    <t xml:space="preserve">평과 결과 검증 </t>
    <phoneticPr fontId="1" type="noConversion"/>
  </si>
  <si>
    <t>임원 음성 딥페이크 송금 사기</t>
    <phoneticPr fontId="1" type="noConversion"/>
  </si>
  <si>
    <t>R-01-20260204-01</t>
    <phoneticPr fontId="1" type="noConversion"/>
  </si>
  <si>
    <t>현존 위험</t>
    <phoneticPr fontId="1" type="noConversion"/>
  </si>
  <si>
    <t>2026. 02. 04.</t>
    <phoneticPr fontId="1" type="noConversion"/>
  </si>
  <si>
    <t>2026. 05. 04.</t>
    <phoneticPr fontId="1" type="noConversion"/>
  </si>
  <si>
    <t>심각도 상향 (중→고)</t>
    <phoneticPr fontId="1" type="noConversion"/>
  </si>
  <si>
    <t>- 배포 전 레드팀 테스트 수행 결과
- 공개된 유사 인공지능의 프롬프트 인젝션 악용 사례 분석 병행</t>
    <phoneticPr fontId="1" type="noConversion"/>
  </si>
  <si>
    <t>- 외부 입력을 통해 시스템 지침을 우회하거나 응답을 왜곡할 수 있는 가능성이 확인됨
- 악의적 사용자가 특정 지시를 삽입할 경우, 의도하지 않은 정보 제공 또는 정책 위반 응답이 발생할 수 있음
- 다수 이용자를 대상으로 반복적·확산적으로 영향을 미칠 수 있는 구조적 취약점으로 판단됨</t>
    <phoneticPr fontId="1" type="noConversion"/>
  </si>
  <si>
    <t>악용 (Malicious use)</t>
  </si>
  <si>
    <t>허위 정보로 인한 피해 (Harm through fake content)</t>
  </si>
  <si>
    <t>여론조작 (Manipulation of public opinion)</t>
  </si>
  <si>
    <t>사이버 범죄 (Cyber offence)</t>
  </si>
  <si>
    <t>오작동 (Malfunctions)</t>
  </si>
  <si>
    <t>신뢰성 문제 (Reliability issues)</t>
  </si>
  <si>
    <t>편향성 (Bias)</t>
  </si>
  <si>
    <t>통제 불능 (Loss of control)</t>
  </si>
  <si>
    <t>구조적 위험 (Systemic)</t>
  </si>
  <si>
    <t>노동시장 위험 (Labour market risks)</t>
  </si>
  <si>
    <t>글로벌 AI 연구개발 격차 (Global AI R&amp;D divide)</t>
  </si>
  <si>
    <t>시스템 중앙집중화 (System concentration)</t>
  </si>
  <si>
    <t>■ AI위험 식별내용</t>
    <phoneticPr fontId="1" type="noConversion"/>
  </si>
  <si>
    <t>위험ID</t>
    <phoneticPr fontId="1" type="noConversion"/>
  </si>
  <si>
    <t>위험유형(Lv1)</t>
    <phoneticPr fontId="1" type="noConversion"/>
  </si>
  <si>
    <t>위험명</t>
    <phoneticPr fontId="1" type="noConversion"/>
  </si>
  <si>
    <t>XXXXXXXX</t>
    <phoneticPr fontId="1" type="noConversion"/>
  </si>
  <si>
    <t>위험유형(Lv2)</t>
    <phoneticPr fontId="1" type="noConversion"/>
  </si>
  <si>
    <t>구분</t>
    <phoneticPr fontId="1" type="noConversion"/>
  </si>
  <si>
    <t>위험유형(Lv3)</t>
    <phoneticPr fontId="1" type="noConversion"/>
  </si>
  <si>
    <t>최초식별</t>
    <phoneticPr fontId="1" type="noConversion"/>
  </si>
  <si>
    <t>식별 결과</t>
    <phoneticPr fontId="1" type="noConversion"/>
  </si>
  <si>
    <t>■ AI위험 평가개요</t>
    <phoneticPr fontId="1" type="noConversion"/>
  </si>
  <si>
    <t>정기평가</t>
    <phoneticPr fontId="1" type="noConversion"/>
  </si>
  <si>
    <t>2026. 05. 06.</t>
    <phoneticPr fontId="1" type="noConversion"/>
  </si>
  <si>
    <t>AI서비스기획부</t>
    <phoneticPr fontId="1" type="noConversion"/>
  </si>
  <si>
    <t>2026. 06. 06.</t>
    <phoneticPr fontId="1" type="noConversion"/>
  </si>
  <si>
    <t>■ AI위험 평가상세</t>
    <phoneticPr fontId="1" type="noConversion"/>
  </si>
  <si>
    <t>평가항목설명</t>
    <phoneticPr fontId="1" type="noConversion"/>
  </si>
  <si>
    <t>평가점수</t>
    <phoneticPr fontId="1" type="noConversion"/>
  </si>
  <si>
    <t>평가점수 산정근거</t>
    <phoneticPr fontId="1" type="noConversion"/>
  </si>
  <si>
    <t>위험이 현실화될 경우 초래하는 피해의 크기</t>
    <phoneticPr fontId="1" type="noConversion"/>
  </si>
  <si>
    <t>위험이 실현될 경우 사회, 경제적, 윤리적으로 초래할 수 있는 파급력</t>
    <phoneticPr fontId="1" type="noConversion"/>
  </si>
  <si>
    <t>실현가능성</t>
    <phoneticPr fontId="1" type="noConversion"/>
  </si>
  <si>
    <t>위험이 실제로 발생할 수 있는 가능성</t>
    <phoneticPr fontId="1" type="noConversion"/>
  </si>
  <si>
    <t>위험이 반복적으로 발생할 가능성</t>
    <phoneticPr fontId="1" type="noConversion"/>
  </si>
  <si>
    <t>관리가능성</t>
    <phoneticPr fontId="1" type="noConversion"/>
  </si>
  <si>
    <t>위험 발생 시 통제, 대응할 수 있는 정도</t>
    <phoneticPr fontId="1" type="noConversion"/>
  </si>
  <si>
    <t>위험점수</t>
    <phoneticPr fontId="1" type="noConversion"/>
  </si>
  <si>
    <t>조치내용</t>
    <phoneticPr fontId="1" type="noConversion"/>
  </si>
  <si>
    <t>완화비율</t>
    <phoneticPr fontId="1" type="noConversion"/>
  </si>
  <si>
    <t>재평가점수</t>
    <phoneticPr fontId="1" type="noConversion"/>
  </si>
  <si>
    <t>완화결과</t>
    <phoneticPr fontId="1" type="noConversion"/>
  </si>
  <si>
    <t>안전성 위험 명칭</t>
    <phoneticPr fontId="1" type="noConversion"/>
  </si>
  <si>
    <t>L1 위험 분류</t>
    <phoneticPr fontId="1" type="noConversion"/>
  </si>
  <si>
    <t>L2 위험 분류</t>
  </si>
  <si>
    <t>위험 ID</t>
  </si>
  <si>
    <t>Lv3 위험 분류</t>
    <phoneticPr fontId="1" type="noConversion"/>
  </si>
  <si>
    <t>위험 정의</t>
  </si>
  <si>
    <t>증권회사 특화 발생 시나리오 / 사례</t>
  </si>
  <si>
    <t>주요 업무 영역</t>
  </si>
  <si>
    <t>주요 영향 영역</t>
  </si>
  <si>
    <t>위험 발생 원인(Trigger)</t>
  </si>
  <si>
    <t>사전 예방 통제</t>
  </si>
  <si>
    <t>사후 탐지·대응 통제</t>
  </si>
  <si>
    <t>Human-in-the-loop 여부</t>
  </si>
  <si>
    <t>관련 법·가이드·프레임워크(S#)</t>
    <phoneticPr fontId="1" type="noConversion"/>
  </si>
  <si>
    <t>비고</t>
  </si>
  <si>
    <t>Malicious use</t>
    <phoneticPr fontId="1" type="noConversion"/>
  </si>
  <si>
    <t>Harm through fake content</t>
    <phoneticPr fontId="1" type="noConversion"/>
  </si>
  <si>
    <t>합성 음성으로 임원을 사칭하여 금융 거래를 유도</t>
  </si>
  <si>
    <t>CFO 음성 사칭 “긴급 송금” 지시 후 실행</t>
  </si>
  <si>
    <t>결제, 운영, 보안</t>
  </si>
  <si>
    <t>재무손실, 평판</t>
  </si>
  <si>
    <t>콜백·이중승인 절차 미흡</t>
  </si>
  <si>
    <t>고위험 거래 2인 승인, 콜백 인증, 음성 단독 승인 금지, 권한 분리</t>
  </si>
  <si>
    <t>이상거래 탐지(FDS), 사고 즉시 계좌 동결 및 보고</t>
  </si>
  <si>
    <t>HITL 필수</t>
  </si>
  <si>
    <t>S1,S3,S9,S11</t>
  </si>
  <si>
    <t>Malicious use</t>
  </si>
  <si>
    <t>Harm through fake content</t>
  </si>
  <si>
    <t>공식 리포트 형식을 위조해 투자 판단을 왜곡</t>
  </si>
  <si>
    <t>허위 목표가 리포트로 주가 급등락</t>
  </si>
  <si>
    <t>리서치, 준법, 시장감시</t>
  </si>
  <si>
    <t>시장질서, 고객피해</t>
  </si>
  <si>
    <t>문서 진위 검증 부재</t>
  </si>
  <si>
    <t>리포트 전자서명, 공식 배포 채널 고정, 준법 사전 승인</t>
  </si>
  <si>
    <t>유사도·위변조 탐지, 정정 공지 및 삭제 요청</t>
  </si>
  <si>
    <t>S1,S3,S12</t>
  </si>
  <si>
    <t>합성된 녹취가 실제 발언으로 오인</t>
  </si>
  <si>
    <t>PB 상담 녹취 합성으로 “원금보장” 주장</t>
  </si>
  <si>
    <t>WM, 고객센터, 준법</t>
  </si>
  <si>
    <t>법적 분쟁, 평판</t>
  </si>
  <si>
    <t>녹취 무결성 관리 부재</t>
  </si>
  <si>
    <t>녹취 원본 무결성(해시), 접근 통제, 상담 스크립트 관리</t>
  </si>
  <si>
    <t>민원 키워드 탐지, 녹취 검증 및 분쟁 대응</t>
  </si>
  <si>
    <t>S1,S3,S11</t>
  </si>
  <si>
    <t>Manipulation of public opinion</t>
    <phoneticPr fontId="1" type="noConversion"/>
  </si>
  <si>
    <t>AI가 허위 정보를 대량 생성·확산</t>
  </si>
  <si>
    <t>SNS·커뮤니티에 M&amp;A 루머 자동 게시</t>
  </si>
  <si>
    <t>시장감시, 브로커리지</t>
  </si>
  <si>
    <t>시장질서 훼손</t>
  </si>
  <si>
    <t>콘텐츠 자동화</t>
  </si>
  <si>
    <t>SNS 모니터링, AI 자동 배포 금지, 고위험 종목 추가 심사</t>
  </si>
  <si>
    <t>이상거래 연계 분석, 정정 공지</t>
  </si>
  <si>
    <t>Manipulation of public opinion</t>
  </si>
  <si>
    <t>“AI 분석”이라는 표현으로 허위 정보 신뢰도 증폭</t>
  </si>
  <si>
    <t>“AI가 보장” 문구로 특정 상품 유도</t>
  </si>
  <si>
    <t>마케팅, WM, 준법</t>
  </si>
  <si>
    <t>고객피해, 평판</t>
  </si>
  <si>
    <t>표현 통제 미흡</t>
  </si>
  <si>
    <t>수익보장 표현 금지, 정보제공/권유 명확 구분</t>
  </si>
  <si>
    <t>금칙어 탐지, 민원 모니터링</t>
  </si>
  <si>
    <t>S1,S3</t>
  </si>
  <si>
    <t>Cyber offence</t>
    <phoneticPr fontId="1" type="noConversion"/>
  </si>
  <si>
    <t>악성 입력으로 정책 우회·기밀 노출</t>
  </si>
  <si>
    <t>RAG 챗봇에서 미공개 딜 정보 노출</t>
  </si>
  <si>
    <t>IT, 보안, 리서치</t>
  </si>
  <si>
    <t>정보유출</t>
  </si>
  <si>
    <t>입력 검증 미흡</t>
  </si>
  <si>
    <t>프롬프트 분리, 정책 엔진, 민감정보 마스킹</t>
  </si>
  <si>
    <t>인젝션 패턴 탐지, 로그 감사</t>
  </si>
  <si>
    <t>S6,S7,S11</t>
  </si>
  <si>
    <t>Cyber offence</t>
  </si>
  <si>
    <t>외부 문서에 숨은 지시로 모델 행동 오염</t>
  </si>
  <si>
    <t>웹 문서 요약 중 비밀 정보 전송 시도</t>
  </si>
  <si>
    <t>IT, 보안</t>
  </si>
  <si>
    <t>외부 콘텐츠 신뢰</t>
  </si>
  <si>
    <t>외부 콘텐츠 샌드박스, 툴 호출 전 승인</t>
  </si>
  <si>
    <t>비정상 툴 호출 탐지, 세션 차단</t>
  </si>
  <si>
    <t>지식베이스 오염으로 특정 종목 편향</t>
  </si>
  <si>
    <t>RAG 문서에 편향 자료 삽입</t>
  </si>
  <si>
    <t>리서치, WM</t>
  </si>
  <si>
    <t>고객피해, 시장왜곡</t>
  </si>
  <si>
    <t>데이터 검증 부재</t>
  </si>
  <si>
    <t>출처 검증, 변경 승인, 데이터 정제</t>
  </si>
  <si>
    <t>문서 변화 탐지, 오염 데이터 롤백</t>
  </si>
  <si>
    <t>HITL 권고</t>
  </si>
  <si>
    <t>S3,S4,S7</t>
  </si>
  <si>
    <t>키 유출로 무단 호출·정보 접근</t>
  </si>
  <si>
    <t>외주 개발자 키 노출</t>
  </si>
  <si>
    <t>정보유출, 비용 증가</t>
  </si>
  <si>
    <t>비밀관리 미흡</t>
  </si>
  <si>
    <t>키 금고, 회전, 최소 권한</t>
  </si>
  <si>
    <t>API 사용량 모니터링, 즉시 폐기</t>
  </si>
  <si>
    <t>HITL 해당없음</t>
  </si>
  <si>
    <t>S6,S11</t>
  </si>
  <si>
    <t>Malfunctions</t>
    <phoneticPr fontId="1" type="noConversion"/>
  </si>
  <si>
    <t>Reliability issues</t>
    <phoneticPr fontId="1" type="noConversion"/>
  </si>
  <si>
    <t>존재하지 않는 사실을 사실처럼 생성</t>
  </si>
  <si>
    <t>자사주 소각 허위 요약 제공</t>
  </si>
  <si>
    <t>출처 검증 미흡</t>
  </si>
  <si>
    <t>출처 기반 응답 강제, RAG 사용</t>
  </si>
  <si>
    <t>정합성 검증, 정정 공지</t>
  </si>
  <si>
    <t>S1,S3,S4</t>
  </si>
  <si>
    <t>Malfunctions</t>
  </si>
  <si>
    <t>Reliability issues</t>
  </si>
  <si>
    <t>요약 과정에서 중요 정보 탈락</t>
  </si>
  <si>
    <t>소송 리스크 누락 리포트 배포</t>
  </si>
  <si>
    <t>리서치, 준법</t>
  </si>
  <si>
    <t>법적 리스크</t>
  </si>
  <si>
    <t>요약 검증 부재</t>
  </si>
  <si>
    <t>중요 항목 체크리스트, 이중 검토</t>
  </si>
  <si>
    <t>누락 탐지, 정정 배포</t>
  </si>
  <si>
    <t>S1,S4</t>
  </si>
  <si>
    <t>규정 해석 오류로 잘못 안내</t>
  </si>
  <si>
    <t>신고 필요 거래를 “가능”으로 안내</t>
  </si>
  <si>
    <t>준법, 영업</t>
  </si>
  <si>
    <t>규제위반</t>
  </si>
  <si>
    <t>규정 최신성 미흡</t>
  </si>
  <si>
    <t>근거 조항 링크 의무, 최신 문서만 사용</t>
  </si>
  <si>
    <t>오답 신고 채널, 준법 검토</t>
  </si>
  <si>
    <t>S3,S4</t>
  </si>
  <si>
    <t>AI 생성 코드 오류로 계산 실패</t>
  </si>
  <si>
    <t>VaR 계산 오류로 한도 초과</t>
  </si>
  <si>
    <t>리스크관리, IT</t>
  </si>
  <si>
    <t>재무손실</t>
  </si>
  <si>
    <t>검증 없는 코드 반영</t>
  </si>
  <si>
    <t>코드 리뷰, 테스트, 샌드박스</t>
  </si>
  <si>
    <t>이상 수치 탐지, 롤백</t>
  </si>
  <si>
    <t>S3,S4,S9</t>
  </si>
  <si>
    <t>Bias</t>
  </si>
  <si>
    <t>특정 고객군에 불리한 추천 반복</t>
  </si>
  <si>
    <t>고령층에 고위험 상품 추천</t>
  </si>
  <si>
    <t>WM, 준법</t>
  </si>
  <si>
    <t>학습데이터 편향</t>
  </si>
  <si>
    <t>그룹별 성능 평가, 금칙어 정책</t>
  </si>
  <si>
    <t>편향 지표 모니터링</t>
  </si>
  <si>
    <t>특정 계정군 과탐/미탐</t>
  </si>
  <si>
    <t>특정 계좌 반복 오탐지</t>
  </si>
  <si>
    <t>시장감시, 준법</t>
  </si>
  <si>
    <t>운영 리스크</t>
  </si>
  <si>
    <t>라벨 편향</t>
  </si>
  <si>
    <t>임계치 튜닝, 성능 재평가</t>
  </si>
  <si>
    <t>오탐/미탐 KPI 관리</t>
  </si>
  <si>
    <t>Loss of control</t>
  </si>
  <si>
    <t>사람이 AI 결과를 무비판 수용</t>
  </si>
  <si>
    <t>상담원이 AI 답변 그대로 전달</t>
  </si>
  <si>
    <t>전사</t>
  </si>
  <si>
    <t>과의존</t>
  </si>
  <si>
    <t>HITL 원칙 교육, 수정률 KPI</t>
  </si>
  <si>
    <t>오답 급증 시 세이프모드</t>
  </si>
  <si>
    <t>S1,S3,S8</t>
  </si>
  <si>
    <t>에이전트가 반복 주문 수행</t>
  </si>
  <si>
    <t>손절 조건 오류로 과도 매매</t>
  </si>
  <si>
    <t>알고트레이딩, IT</t>
  </si>
  <si>
    <t>권한 과다</t>
  </si>
  <si>
    <t>권한 제한, 손실 한도, 킬스위치</t>
  </si>
  <si>
    <t>비정상 행동 탐지</t>
  </si>
  <si>
    <t>S1,S8,S9</t>
  </si>
  <si>
    <t>연결된 툴을 악용해 환경 변경</t>
  </si>
  <si>
    <t>챗봇이 주문 API 호출 시도</t>
  </si>
  <si>
    <t>IT, 보안, 브로커리지</t>
  </si>
  <si>
    <t>툴 권한 설계 오류</t>
  </si>
  <si>
    <t>툴 allowlist, 고위험 툴 승인</t>
  </si>
  <si>
    <t>툴 호출 감사 로그</t>
  </si>
  <si>
    <t>S6,S7,S8</t>
  </si>
  <si>
    <t>입력/로그에 민감정보 저장</t>
  </si>
  <si>
    <t>상담 로그에 주민번호 포함</t>
  </si>
  <si>
    <t>고객센터, IT</t>
  </si>
  <si>
    <t>마스킹 미흡</t>
  </si>
  <si>
    <t>입력 DLP, 로그 최소화</t>
  </si>
  <si>
    <t>DLP 경보, 사고 대응</t>
  </si>
  <si>
    <t>S10,S11,S6</t>
  </si>
  <si>
    <t>구버전 정보로 오답 제공</t>
  </si>
  <si>
    <t>수수료 변경 미반영 안내</t>
  </si>
  <si>
    <t>고객센터, WM</t>
  </si>
  <si>
    <t>고객불만</t>
  </si>
  <si>
    <t>갱신 실패</t>
  </si>
  <si>
    <t>콘텐츠 오너 지정, 갱신 SLA</t>
  </si>
  <si>
    <t>오래된 문서 탐지</t>
  </si>
  <si>
    <t>Systemic</t>
    <phoneticPr fontId="1" type="noConversion"/>
  </si>
  <si>
    <t>Labour market risks</t>
    <phoneticPr fontId="1" type="noConversion"/>
  </si>
  <si>
    <t>AI 의존으로 인간 판단력 저하</t>
  </si>
  <si>
    <t>리서치 오류 장기 미탐지</t>
  </si>
  <si>
    <t>2인 검토, 교육</t>
  </si>
  <si>
    <t>정정률 모니터링</t>
  </si>
  <si>
    <t>Systemic</t>
  </si>
  <si>
    <t>Global AI R&amp;D divide</t>
    <phoneticPr fontId="1" type="noConversion"/>
  </si>
  <si>
    <t>정책 변경 시 서비스 영향</t>
  </si>
  <si>
    <t>모델 업데이트로 응답 급변</t>
  </si>
  <si>
    <t>IT, 전사</t>
  </si>
  <si>
    <t>운영중단</t>
  </si>
  <si>
    <t>벤더 종속</t>
  </si>
  <si>
    <t>멀티벤더, 폴백 모델</t>
  </si>
  <si>
    <t>가용성 모니터링</t>
  </si>
  <si>
    <t>S1,S3,S9</t>
  </si>
  <si>
    <t>System concentration</t>
    <phoneticPr fontId="1" type="noConversion"/>
  </si>
  <si>
    <t>단일 실패지점으로 연쇄 장애</t>
  </si>
  <si>
    <t>상담·내부 업무 동시 중단</t>
  </si>
  <si>
    <t>IT, 고객센터</t>
  </si>
  <si>
    <t>아키텍처 단일화</t>
  </si>
  <si>
    <t>멀티리전, DR 구성</t>
  </si>
  <si>
    <t>장애 전환 훈련</t>
  </si>
  <si>
    <t>합성 얼굴/음성으로 본인확인 시도</t>
  </si>
  <si>
    <t>비대면 계좌 개설 악용</t>
  </si>
  <si>
    <t>비대면채널, 보안</t>
  </si>
  <si>
    <t>금융사고</t>
  </si>
  <si>
    <t>인증 취약</t>
  </si>
  <si>
    <t>다중 인증, 재검증 트리거</t>
  </si>
  <si>
    <t>이상 인증 탐지</t>
  </si>
  <si>
    <t>S1,S11,S9</t>
  </si>
  <si>
    <t>내부 정책 노출로 공격 용이</t>
  </si>
  <si>
    <t>프롬프트 추출 후 가드레일 우회</t>
  </si>
  <si>
    <t>보안취약</t>
  </si>
  <si>
    <t>프롬프트 보호</t>
  </si>
  <si>
    <t>추출 시도 탐지</t>
  </si>
  <si>
    <t>S7,S6</t>
  </si>
  <si>
    <t>시간 경과로 정확도 급락</t>
  </si>
  <si>
    <t>시장 변동성 확대 후 오답 증가</t>
  </si>
  <si>
    <t>고객피해</t>
  </si>
  <si>
    <t>드리프트 관리 부재</t>
  </si>
  <si>
    <t>정기 재평가, 골든셋 테스트</t>
  </si>
  <si>
    <t>성능 KPI 모니터링</t>
  </si>
  <si>
    <t>근거와 다른 결론 생성</t>
  </si>
  <si>
    <t>공시 일부 인용 후 반대 결론</t>
  </si>
  <si>
    <t>리서치</t>
  </si>
  <si>
    <t>정합성 검증 부재</t>
  </si>
  <si>
    <t>근거-결론 검증</t>
  </si>
  <si>
    <t>샘플링 점검</t>
  </si>
  <si>
    <t>언어·문화 편향으로 부적절 표현</t>
  </si>
  <si>
    <t>특정 연령 비하 표현</t>
  </si>
  <si>
    <t>고객센터</t>
  </si>
  <si>
    <t>평판</t>
  </si>
  <si>
    <t>가드레일 부재</t>
  </si>
  <si>
    <t>금칙어 정책</t>
  </si>
  <si>
    <t>차별 표현 탐지</t>
  </si>
  <si>
    <t>불필요한 개인정보 인덱싱</t>
  </si>
  <si>
    <t>RAG에 주민번호 포함 문서</t>
  </si>
  <si>
    <t>IT, 데이터</t>
  </si>
  <si>
    <t>최소수집 위반</t>
  </si>
  <si>
    <t>비식별화, 접근 통제</t>
  </si>
  <si>
    <t>PII 탐지 스캔</t>
  </si>
  <si>
    <t>S11,S6</t>
  </si>
  <si>
    <t>에이전트가 우회 경로 탐색</t>
  </si>
  <si>
    <t>거래 제한 회피 시도</t>
  </si>
  <si>
    <t>알고, 준법</t>
  </si>
  <si>
    <t>자율성 과다</t>
  </si>
  <si>
    <t>행동 경계, 승인 포인트</t>
  </si>
  <si>
    <t>플랜 감사 로그</t>
  </si>
  <si>
    <t>S8,S3</t>
  </si>
  <si>
    <t>정보 제공이 권유로 해석</t>
  </si>
  <si>
    <t>“지금 매수” 형태 응답</t>
  </si>
  <si>
    <t>WM, 고객센터</t>
  </si>
  <si>
    <t>분쟁</t>
  </si>
  <si>
    <t>권유 금지 룰, 상담 전환</t>
  </si>
  <si>
    <t>대화 로그 점검</t>
  </si>
  <si>
    <t>AI가 사회공학 공격을 강화</t>
  </si>
  <si>
    <t>맞춤형 피싱 메일 생성</t>
  </si>
  <si>
    <t>보안, 전사</t>
  </si>
  <si>
    <t>침해사고</t>
  </si>
  <si>
    <t>공격 비용 하락</t>
  </si>
  <si>
    <t>보안 교육, 이메일 보안</t>
  </si>
  <si>
    <t>피싱 탐지 훈련</t>
  </si>
  <si>
    <t>S7,S5</t>
  </si>
  <si>
    <t>Labour market risks</t>
  </si>
  <si>
    <t>감시 인력 부족으로 대응 지연</t>
  </si>
  <si>
    <t>야간 장애 장기화</t>
  </si>
  <si>
    <t>IT 운영</t>
  </si>
  <si>
    <t>인력·프로세스 부족</t>
  </si>
  <si>
    <t>온콜 체계, 자동 모니터링</t>
  </si>
  <si>
    <t>RCA 및 개선</t>
  </si>
  <si>
    <t>Global AI R&amp;D divide</t>
  </si>
  <si>
    <t>해외 정책 변화로 호출 불가</t>
  </si>
  <si>
    <t>특정 리전 API 차단</t>
  </si>
  <si>
    <t>지역 의존</t>
  </si>
  <si>
    <t>대체 모델, 계약 조항</t>
  </si>
  <si>
    <t>장애 전환</t>
  </si>
  <si>
    <t>PoC 결과만으로 전사 배포</t>
  </si>
  <si>
    <t>검증 없이 서비스 확대</t>
  </si>
  <si>
    <t>전사, IT</t>
  </si>
  <si>
    <t>운영사고</t>
  </si>
  <si>
    <t>배포 게이트 부재</t>
  </si>
  <si>
    <t>단계별 승인, 검증 게이트</t>
  </si>
  <si>
    <t>롤백 기준 운영</t>
  </si>
  <si>
    <t>S4,S3</t>
  </si>
  <si>
    <t>불필요한 개인정보 입력·저장</t>
  </si>
  <si>
    <t>입력창에 주민번호 입력 유도</t>
  </si>
  <si>
    <t>입력 제한 미흡</t>
  </si>
  <si>
    <t>입력 필터, PII 자동 마스킹</t>
  </si>
  <si>
    <t>DLP 경보, 즉시 차단</t>
  </si>
  <si>
    <t>평가 항목</t>
  </si>
  <si>
    <t>1점 (매우 낮음)</t>
  </si>
  <si>
    <t>2점 (낮음)</t>
  </si>
  <si>
    <t>3점 (중간)</t>
  </si>
  <si>
    <t>4점 (높음)</t>
  </si>
  <si>
    <t>5점 (매우 높음)</t>
  </si>
  <si>
    <t>심각성 (Severity)
“얼마나 크게 다치나?”</t>
    <phoneticPr fontId="1" type="noConversion"/>
  </si>
  <si>
    <t>경미한 내부 불편 수준. 실제 피해 거의 없음 (예: 내부 테스트 챗봇의 단순 오답)</t>
  </si>
  <si>
    <t>소규모 재무 손실 또는 경미한 고객 불편 (예: 상담봇 오답으로 재문의 발생)</t>
  </si>
  <si>
    <t>일부 고객의 금전적 손실 또는 민원 발생 (예: WM 상담 오류로 소액 투자 손실)</t>
  </si>
  <si>
    <t>다수 고객 피해 또는 중대한 재무 손실 (예: 잘못된 리서치 요약으로 대규모 매매 손실)</t>
  </si>
  <si>
    <t>대규모 재산 피해·시장 혼란·금융시스템 신뢰 붕괴 (예: 허위 정보로 주가 폭락·뱅크런 유발)</t>
  </si>
  <si>
    <t>중대성 (Criticality)
“어디까지 번지나?”</t>
    <phoneticPr fontId="1" type="noConversion"/>
  </si>
  <si>
    <t>조직 내부에 한정된 영향 (예: 단일 부서 업무 지연)</t>
  </si>
  <si>
    <t>조직 일부 기능에 영향 (예: 특정 상품 라인의 일시적 중단)</t>
  </si>
  <si>
    <t>조직 전반 또는 다수 부서에 영향 (예: 리서치 오류로 전사적 정정 공지)</t>
  </si>
  <si>
    <t>금융시장 또는 다수 이해관계자에 영향 (예: 증권사 신뢰 하락, 규제기관 보고 필요)</t>
  </si>
  <si>
    <t>사회·경제 시스템 전반에 중대한 영향 (예: 시장 질서 교란, 금융 불안 확산)</t>
  </si>
  <si>
    <t>실현 가능성 
(Likelihood / Feasibility)
 “일어날 수 있나?”</t>
    <phoneticPr fontId="1" type="noConversion"/>
  </si>
  <si>
    <t>이론적으로만 가능, 현실 사례 없음 (예: 연구 단계 공격 시나리오)</t>
  </si>
  <si>
    <t>드물게 발생 가능, 특수 조건 필요 (예: 고난도 프롬프트 인젝션)</t>
  </si>
  <si>
    <t>일반적 환경에서 발생 가능 (예: RAG 최신성 오류)</t>
  </si>
  <si>
    <t>현재 기술·환경에서 충분히 발생 가능 (예: 음성 딥페이크 사기)</t>
  </si>
  <si>
    <t>이미 빈번히 발생 중이거나 즉시 재현 가능 (예: 피싱·허위정보 자동 생성)</t>
  </si>
  <si>
    <t>빈도 (Frequency)
“얼마나 자주 일어나나?”</t>
    <phoneticPr fontId="1" type="noConversion"/>
  </si>
  <si>
    <t>사실상 발생 이력 없음 (예: 연 1회 미만)</t>
  </si>
  <si>
    <t>수년 1회 수준 (예: 특정 프로젝트에서만 발생)</t>
  </si>
  <si>
    <t>연 1회 이상 발생 (예: 분기별 오탐·오류)</t>
  </si>
  <si>
    <t>반복적 발생 (예: 월 단위로 유사 사고 발생)</t>
  </si>
  <si>
    <t>상시 또는 거의 매번 발생 (예: 매주 이상 징후 탐지)</t>
  </si>
  <si>
    <t>관리 가능성 (Controllability)
“이 위험, 터지면 잡을 수 있습니까?”</t>
    <phoneticPr fontId="1" type="noConversion"/>
  </si>
  <si>
    <t>통제 수단 부재, 대응 불가 (예: 외부 확산 후 회수 불가 허위정보)</t>
  </si>
  <si>
    <t>통제 수단 제한적, 사후 대응 위주 (예: 수동 모니터링)</t>
  </si>
  <si>
    <t>부분적 통제 가능 (예: 사후 검증·정정 가능)</t>
  </si>
  <si>
    <t>대부분 통제 가능 (예: 사전 필터·승인·차단 가능)</t>
  </si>
  <si>
    <t>즉각적·완전 통제 가능 (예: 실시간 차단, 킬스위치, 인간 승인 필수)</t>
  </si>
  <si>
    <t>근거키</t>
  </si>
  <si>
    <t>문서 구분</t>
  </si>
  <si>
    <t>공식 문서명</t>
  </si>
  <si>
    <t>발표/발행 기관</t>
  </si>
  <si>
    <t>발표/개정 시점</t>
  </si>
  <si>
    <t>원문 근거 조항(정확)</t>
  </si>
  <si>
    <t>해당 조항의 핵심 내용</t>
  </si>
  <si>
    <t>본 위험관리 체계에서의 활용 목적</t>
  </si>
  <si>
    <t>준용 방식</t>
  </si>
  <si>
    <t>S1</t>
  </si>
  <si>
    <t>국제 보고서</t>
  </si>
  <si>
    <t>International AI Safety Report 2025</t>
  </si>
  <si>
    <t>International AI Safety Report Committee</t>
  </si>
  <si>
    <t>Section 2.1.1, 2.1.2, 2.2.1, 2.2.3, 2.3.1, 2.3.2</t>
  </si>
  <si>
    <t>허위 콘텐츠, 여론 조작, 신뢰성 문제, 통제 상실, 노동·시스템 리스크 정의</t>
  </si>
  <si>
    <t>안정성 위험 분류체계(L1–L2) 기준</t>
  </si>
  <si>
    <t>직접 준용</t>
  </si>
  <si>
    <t>위험 분류의 최상위 기준</t>
  </si>
  <si>
    <t>S2</t>
  </si>
  <si>
    <t>국내 참고</t>
  </si>
  <si>
    <t>International AI Safety Report 서지/목차 정보</t>
  </si>
  <si>
    <t>국회도서관 NSP</t>
  </si>
  <si>
    <t>목차·페이지 정보</t>
  </si>
  <si>
    <t>보고서 구조·정합성 확인 보조</t>
  </si>
  <si>
    <t>참고용</t>
  </si>
  <si>
    <t>비공식 근거</t>
  </si>
  <si>
    <t>S3</t>
  </si>
  <si>
    <t>국내 가이드</t>
  </si>
  <si>
    <t>금융분야 AI 가이드라인</t>
  </si>
  <si>
    <t>금융위원회</t>
  </si>
  <si>
    <t>위험관리·통제가능성·모니터링·소비자 보호 항목</t>
  </si>
  <si>
    <t>금융권 AI 운영 기본 원칙</t>
  </si>
  <si>
    <t>금융권 공통 준거</t>
  </si>
  <si>
    <t>S4</t>
  </si>
  <si>
    <t>국내 안내서</t>
  </si>
  <si>
    <t>금융분야 AI 개발·활용 안내서</t>
  </si>
  <si>
    <t>2021~</t>
  </si>
  <si>
    <t>개발·검증·운영 단계별 체크리스트</t>
  </si>
  <si>
    <t>AI 생애주기별 통제 설계</t>
  </si>
  <si>
    <t>실무 체크리스트</t>
  </si>
  <si>
    <t>S5</t>
  </si>
  <si>
    <t>국내 보도</t>
  </si>
  <si>
    <t>금융분야 AI 보안 가이드라인(보도자료)</t>
  </si>
  <si>
    <t>AI 보안 관리 필요성 명시</t>
  </si>
  <si>
    <t>보안 가이드 발표 사실 근거</t>
  </si>
  <si>
    <t>참고</t>
  </si>
  <si>
    <t>보도자료 성격</t>
  </si>
  <si>
    <t>S6</t>
  </si>
  <si>
    <t>금융분야 AI 보안 가이드라인(PDF)</t>
  </si>
  <si>
    <t>금융보안원(FSI)</t>
  </si>
  <si>
    <t>체크리스트 31~33(API·키관리·모니터링)</t>
  </si>
  <si>
    <t>AI 보안 통제 상세 기준</t>
  </si>
  <si>
    <t>보안 통제 핵심</t>
  </si>
  <si>
    <t>S7</t>
  </si>
  <si>
    <t>국제 표준</t>
  </si>
  <si>
    <t>NIST AI 600-1 GenAI Profile</t>
  </si>
  <si>
    <t>NIST</t>
  </si>
  <si>
    <t>Prompt injection, data poisoning 섹션</t>
  </si>
  <si>
    <t>GenAI 특화 보안 위협 정의</t>
  </si>
  <si>
    <t>부분 준용</t>
  </si>
  <si>
    <t>기술 보안 기준</t>
  </si>
  <si>
    <t>S8</t>
  </si>
  <si>
    <t>국제 가이드</t>
  </si>
  <si>
    <t>Model AI Governance Framework for Agentic AI</t>
  </si>
  <si>
    <t>싱가포르 IMDA</t>
  </si>
  <si>
    <t>Human oversight, unexpected actions</t>
  </si>
  <si>
    <t>에이전트 통제·HITL 기준</t>
  </si>
  <si>
    <t>Agent 운영 기준</t>
  </si>
  <si>
    <t>S9</t>
  </si>
  <si>
    <t>국내 법령</t>
  </si>
  <si>
    <t>전자금융거래법 제21조</t>
  </si>
  <si>
    <t>대한민국</t>
  </si>
  <si>
    <t>현행</t>
  </si>
  <si>
    <t>전자금융업자의 안전성 확보 의무</t>
  </si>
  <si>
    <t>IT·AI 운영 안정성의 법적 근거</t>
  </si>
  <si>
    <t>강행 규정</t>
  </si>
  <si>
    <t>S10</t>
  </si>
  <si>
    <t>신용정보법 제19조</t>
  </si>
  <si>
    <t>신용정보 전산시스템 보호 의무</t>
  </si>
  <si>
    <t>신용정보 처리 AI의 보안 근거</t>
  </si>
  <si>
    <t>S11</t>
  </si>
  <si>
    <t>행정규칙</t>
  </si>
  <si>
    <t>개인정보의 안전성 확보조치 기준</t>
  </si>
  <si>
    <t>접근통제, 권한관리, 로그, 암호화</t>
  </si>
  <si>
    <t>개인정보 처리 AI 통제 기준</t>
  </si>
  <si>
    <t>세부 기술 기준</t>
  </si>
  <si>
    <t>S12</t>
  </si>
  <si>
    <t>자본시장과 금융투자업에 관한 법률</t>
  </si>
  <si>
    <t>시세조종·부정거래·허위정보 유포 금지</t>
  </si>
  <si>
    <t>시장질서 훼손 위험의 법적 근거</t>
  </si>
  <si>
    <t>증권사 핵심 법령</t>
  </si>
  <si>
    <t>위험 관리 실천/방법</t>
    <phoneticPr fontId="1" type="noConversion"/>
  </si>
  <si>
    <t>설명</t>
    <phoneticPr fontId="1" type="noConversion"/>
  </si>
  <si>
    <t>활용 분야</t>
    <phoneticPr fontId="1" type="noConversion"/>
  </si>
  <si>
    <t>영향 평가 (Impact Assessment)</t>
    <phoneticPr fontId="1" type="noConversion"/>
  </si>
  <si>
    <t>• 기술이나 프로젝트의 잠재적 영향을 평가하는 도구</t>
    <phoneticPr fontId="1" type="noConversion"/>
  </si>
  <si>
    <t>• EU AI법은 고위험 인공지능시스템 개발자에게 기본권 영향 평가를 수행하도록 요구함</t>
    <phoneticPr fontId="1" type="noConversion"/>
  </si>
  <si>
    <t>감사(Audits)</t>
    <phoneticPr fontId="1" type="noConversion"/>
  </si>
  <si>
    <t>• 조직이 기준, 정책, 절차를 준수하고 있는지를 공식적으로 검토하는 절차로, 일반적으로 외부 기관이 수행</t>
    <phoneticPr fontId="1" type="noConversion"/>
  </si>
  <si>
    <t>• 인공지능 감사는 빠르게 성장하는 분야이며, 금융, 환경, 보건 규제 등 타 분야의 감사 역사를 기반으로 발전하고 있음</t>
    <phoneticPr fontId="1" type="noConversion"/>
  </si>
  <si>
    <t>레드티밍 (Red-Teaming)</t>
    <phoneticPr fontId="1" type="noConversion"/>
  </si>
  <si>
    <t>• 사람이나 자동화 시스템이 모의 적대자로서 조직의 시스템을 공격해 취약점을 식별하는 연습</t>
    <phoneticPr fontId="1" type="noConversion"/>
  </si>
  <si>
    <t>• 주로 사이버보안 분야에서 수행되었으나 인공지능 분야에서도 일반화되고 있음</t>
    <phoneticPr fontId="1" type="noConversion"/>
  </si>
  <si>
    <t>벤치마크 (Benchmarks)</t>
    <phoneticPr fontId="1" type="noConversion"/>
  </si>
  <si>
    <t>• 실제 사용 사례를 대표하도록 설계된 고정된 과제 집합에 대해 인공지능 모델의 성능을 평가하고 비교하는 표준화된 정량적 시험 또는 지표</t>
    <phoneticPr fontId="1" type="noConversion"/>
  </si>
  <si>
    <t>• 2023년 기준으로 인공지능은 주요 벤치마크에서 인간 수준의 성능에 도달함</t>
    <phoneticPr fontId="1" type="noConversion"/>
  </si>
  <si>
    <t>모델 평가 (Model Evaluation)</t>
    <phoneticPr fontId="1" type="noConversion"/>
  </si>
  <si>
    <t>• 인공지능 모델의 특정 과제에 대한 성능을 평가하고 측정하는 절차</t>
    <phoneticPr fontId="1" type="noConversion"/>
  </si>
  <si>
    <t>• 보안 등을 포함한 다양한 역량과 위험을 평가하기 위해 무수한 인공지능 평가가 존재함</t>
    <phoneticPr fontId="1" type="noConversion"/>
  </si>
  <si>
    <t>안전 분석 (Safety Analysis)</t>
    <phoneticPr fontId="1" type="noConversion"/>
  </si>
  <si>
    <t>• 구성 요소와 그것이 속한 시스템 간의 상호 의존성을 이해하는 데 도움을 주며, 이를 통해 특정 구성 요소의 실패가 어떻게 시스템 전체 수준의 위험으로 이어질 수 있는지를 예측</t>
    <phoneticPr fontId="1" type="noConversion"/>
  </si>
  <si>
    <t>• 이 접근법은 항공기 추락이나 원자로 노심 붕괴와 같은 안전 필수 분야에서 잠재적 사고를 사전에 예측하고 예방하기 위해 널리 활용됨</t>
    <phoneticPr fontId="1" type="noConversion"/>
  </si>
  <si>
    <t>위험 감수 한도 (Risk Tolerance)</t>
    <phoneticPr fontId="1" type="noConversion"/>
  </si>
  <si>
    <t>• 조직이 감수할 의지가 있는 위험 수준 AI 분야에서는 주로 기업이 자체적으로 정하나, 규제 체계는 법적으로 금지되는 '수용 불가 위험'을 식별하는 역할을 수행</t>
    <phoneticPr fontId="1" type="noConversion"/>
  </si>
  <si>
    <t>• 인공지능 분야에서는 기업이 위험 한도를 스스로 정하는 경우가 많지만, 규제 기관은 법적 기준을 통해 수용 불가한 위험을 명확히 제시함</t>
    <phoneticPr fontId="1" type="noConversion"/>
  </si>
  <si>
    <t>위험 임계값 (Risk Thresholds)</t>
    <phoneticPr fontId="1" type="noConversion"/>
  </si>
  <si>
    <t>• 정량적 및 정성적 기준을 통해 수용 가능한 위험과 불가한 위험을 구분 임계값 초과 시 특정 위험 관리 조치가 발동</t>
    <phoneticPr fontId="1" type="noConversion"/>
  </si>
  <si>
    <t>• 범용 인공지능의 위험 임계값은 역량, 영향, 연산 자원, 파급력 등 다양한 요소의 평가를 종합하여 결정됨</t>
    <phoneticPr fontId="1" type="noConversion"/>
  </si>
  <si>
    <t>위험 행렬 (Risk Matrices)</t>
    <phoneticPr fontId="1" type="noConversion"/>
  </si>
  <si>
    <t>• 발생 가능성과 잠재적 영향을 기준으로 위험을 우선순위화하는 시각적 도구 위험의 심각도를 한눈에 파악 가능</t>
    <phoneticPr fontId="1" type="noConversion"/>
  </si>
  <si>
    <t>• 위험 행렬은 금융기관이 신용위험을 평가하거나 기업이 공급망 차질 가능성을 평가할 때 활용됨</t>
    <phoneticPr fontId="1" type="noConversion"/>
  </si>
  <si>
    <t>보타이 기법 (Bowtie Method)</t>
    <phoneticPr fontId="1" type="noConversion"/>
  </si>
  <si>
    <t>• 위험을 정량 및 정성적으로 시각화하는 기법 사전적 관리와 사후적 관리의 차이를 명확히 구분 대형 사고 위험 예방 및 완화에 도움</t>
    <phoneticPr fontId="1" type="noConversion"/>
  </si>
  <si>
    <t>• 보타이 기법은 석유회사는 물론 여러 국가 정부에서도 주요 사고 위험을 관리하기 위해 활용됨</t>
    <phoneticPr fontId="1" type="noConversion"/>
  </si>
  <si>
    <r>
      <t>출처: 최첨단 인공지능 안전성 확보 가이드라인 &gt; 국제 AI 안전 보고서 2025(International AI Safety Report 2025) &gt;</t>
    </r>
    <r>
      <rPr>
        <sz val="8"/>
        <color theme="1"/>
        <rFont val="Wingdings"/>
        <family val="2"/>
        <charset val="2"/>
      </rPr>
      <t></t>
    </r>
    <r>
      <rPr>
        <sz val="8"/>
        <color theme="1"/>
        <rFont val="맑은 고딕"/>
        <family val="2"/>
        <charset val="129"/>
        <scheme val="minor"/>
      </rPr>
      <t xml:space="preserve"> 3.1 위험 관리 개요(3.1 Risk management overview)</t>
    </r>
    <phoneticPr fontId="1" type="noConversion"/>
  </si>
  <si>
    <t>영향 평가서</t>
    <phoneticPr fontId="1" type="noConversion"/>
  </si>
  <si>
    <t>- 각 서비스별 위험(안전성)들에 대한 평가결과 요약</t>
    <phoneticPr fontId="1" type="noConversion"/>
  </si>
  <si>
    <t>- 해당 서비스에 해당하는 AI 위험(안전성) 식별 및 평가 작성</t>
    <phoneticPr fontId="1" type="noConversion"/>
  </si>
  <si>
    <t>(서식) AI위험평가서(위험ID)</t>
    <phoneticPr fontId="1" type="noConversion"/>
  </si>
  <si>
    <t>- 식별된 각 위험(안전성)별 평가, 완화조치방안, 완호조치 이후 재평가 내용 작성
  (과학기술정보통신부장관 제출용)</t>
    <phoneticPr fontId="1" type="noConversion"/>
  </si>
  <si>
    <t>AI서비스기획
AI개발 (지원)
AI거버넌스 (지원)</t>
    <phoneticPr fontId="1" type="noConversion"/>
  </si>
  <si>
    <t>■ 고영향&amp;안전성 평가서</t>
    <phoneticPr fontId="1" type="noConversion"/>
  </si>
  <si>
    <t>1. 영향 평가서</t>
    <phoneticPr fontId="1" type="noConversion"/>
  </si>
  <si>
    <t>2. 고영향 책무</t>
    <phoneticPr fontId="1" type="noConversion"/>
  </si>
  <si>
    <t>3. 안전성 평가서</t>
    <phoneticPr fontId="1" type="noConversion"/>
  </si>
  <si>
    <t>3-1. 위험(안전성) 평가 요약</t>
    <phoneticPr fontId="1" type="noConversion"/>
  </si>
  <si>
    <t>3-2. AI위험(안전성) 식별 및 평가</t>
    <phoneticPr fontId="1" type="noConversion"/>
  </si>
  <si>
    <t>AI서비스 개요</t>
  </si>
  <si>
    <t>목적 및 필요성</t>
  </si>
  <si>
    <t xml:space="preserve">적용 분야 </t>
  </si>
  <si>
    <t>사용 절차</t>
  </si>
  <si>
    <t>운영기간 및 빈도</t>
  </si>
  <si>
    <t>이용자 선택권</t>
  </si>
  <si>
    <t>(평가하려는 인공지능 서비스의 주요 기능과 특징을 간략히 설명)</t>
    <phoneticPr fontId="1" type="noConversion"/>
  </si>
  <si>
    <t>(서비스에 대한 간략한 설명 작성)</t>
    <phoneticPr fontId="1" type="noConversion"/>
  </si>
  <si>
    <t>(해당 서비스 구현 시, 프로세스 상 AI기술 적용 방식 등에 대한 내용을 상세 기재, 프로세스 도식화)</t>
    <phoneticPr fontId="1" type="noConversion"/>
  </si>
  <si>
    <t xml:space="preserve">(고객 또는 사용자가 해당 서비스를 이용하는 절차를 설명하고, 운영 단계에서 인공지능이 작동하는 시점과 그 역할을 작성) </t>
    <phoneticPr fontId="1" type="noConversion"/>
  </si>
  <si>
    <t xml:space="preserve">(서비스가 운영될 기간과 평균 사용 빈도 작성) </t>
    <phoneticPr fontId="1" type="noConversion"/>
  </si>
  <si>
    <t>(현재 서비스를 직접 이용하거나 간접적으로 영향을 받을 주요 이용자 집단과 특성을 작성 (연령대, 숙련도, 전문성 수준 등 포함)</t>
    <phoneticPr fontId="1" type="noConversion"/>
  </si>
  <si>
    <t>(이용자가 해당 서비스 이용 과정에서 가지는 선택권이나 통제권의 범위 설명 (인공지능 기능 미사용 선택 / 도출 결과 거부/ 이의제기, 수정요청 가능/ 결과 철회 가능))</t>
    <phoneticPr fontId="1" type="noConversion"/>
  </si>
  <si>
    <t>이용자 
범주 · 특성</t>
    <phoneticPr fontId="1" type="noConversion"/>
  </si>
  <si>
    <t>위험 시나리오</t>
    <phoneticPr fontId="1" type="noConversion"/>
  </si>
  <si>
    <t>피영향자</t>
    <phoneticPr fontId="1" type="noConversion"/>
  </si>
  <si>
    <t>직접 피영향자
 (영향받는자)</t>
    <phoneticPr fontId="1" type="noConversion"/>
  </si>
  <si>
    <t>간접 피영향자</t>
    <phoneticPr fontId="1" type="noConversion"/>
  </si>
  <si>
    <t>의도치 않은/예상치 못한 피영향자</t>
    <phoneticPr fontId="1" type="noConversion"/>
  </si>
  <si>
    <t>관련 기본권</t>
    <phoneticPr fontId="1" type="noConversion"/>
  </si>
  <si>
    <t>영향 내용</t>
    <phoneticPr fontId="1" type="noConversion"/>
  </si>
  <si>
    <t>(이유)</t>
    <phoneticPr fontId="1" type="noConversion"/>
  </si>
  <si>
    <t>이행중인 관리방안</t>
    <phoneticPr fontId="1" type="noConversion"/>
  </si>
  <si>
    <t>영향수준</t>
    <phoneticPr fontId="1" type="noConversion"/>
  </si>
  <si>
    <t xml:space="preserve">※ 영향평가 상세 내용은 규정 2장 16조, 거버넌스운영지침 4장 27조 참고하여 수행
필요 시, 하위법령 가이드라인 참고 </t>
    <phoneticPr fontId="1" type="noConversion"/>
  </si>
  <si>
    <r>
      <t xml:space="preserve">영향 규모
</t>
    </r>
    <r>
      <rPr>
        <sz val="11"/>
        <color theme="0" tint="-0.249977111117893"/>
        <rFont val="KoPub돋움체_Pro Light"/>
        <family val="3"/>
        <charset val="129"/>
      </rPr>
      <t>(보통/경미, 중간, 높음, 매우 높음)</t>
    </r>
    <phoneticPr fontId="1" type="noConversion"/>
  </si>
  <si>
    <r>
      <t xml:space="preserve">영향 기간
</t>
    </r>
    <r>
      <rPr>
        <sz val="11"/>
        <color theme="0" tint="-0.249977111117893"/>
        <rFont val="KoPub돋움체_Pro Light"/>
        <family val="3"/>
        <charset val="129"/>
      </rPr>
      <t>(단기, 중기, 장기, 세대간)</t>
    </r>
    <phoneticPr fontId="1" type="noConversion"/>
  </si>
  <si>
    <r>
      <t xml:space="preserve">발생 가능성
</t>
    </r>
    <r>
      <rPr>
        <sz val="11"/>
        <color theme="0" tint="-0.249977111117893"/>
        <rFont val="KoPub돋움체_Pro Light"/>
        <family val="3"/>
        <charset val="129"/>
      </rPr>
      <t>(낮음, 중간, 높음, 매우 높음)</t>
    </r>
    <phoneticPr fontId="1" type="noConversion"/>
  </si>
  <si>
    <t>- 고영향 AI 영향평가(법 제35조제1항) 수행</t>
    <phoneticPr fontId="1" type="noConversion"/>
  </si>
  <si>
    <t>- 고영향 AI 책무 체크리스트 활용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</si>
</sst>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sz val="28"/>
      <color rgb="FFF5822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0"/>
      <color theme="0" tint="-0.499984740745262"/>
      <name val="맑은 고딕"/>
      <family val="3"/>
      <charset val="129"/>
      <scheme val="minor"/>
    </font>
    <font>
      <sz val="17"/>
      <color theme="1" tint="0.499984740745262"/>
      <name val="맑은 고딕"/>
      <family val="3"/>
      <charset val="129"/>
      <scheme val="minor"/>
    </font>
    <font>
      <b/>
      <sz val="34"/>
      <color rgb="FF0000FF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7"/>
      <color theme="0" tint="-0.499984740745262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 tint="0.34998626667073579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rgb="FFBFBFB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KoPub돋움체_Pro Light"/>
      <family val="3"/>
      <charset val="129"/>
    </font>
    <font>
      <i/>
      <sz val="12"/>
      <color rgb="FFBFBFBF"/>
      <name val="KoPub돋움체_Pro Light"/>
      <family val="3"/>
      <charset val="129"/>
    </font>
    <font>
      <sz val="11"/>
      <color theme="1"/>
      <name val="KoPub돋움체_Pro Light"/>
      <family val="3"/>
      <charset val="129"/>
    </font>
    <font>
      <b/>
      <sz val="16"/>
      <color theme="1"/>
      <name val="KoPub돋움체_Pro Light"/>
      <family val="3"/>
      <charset val="129"/>
    </font>
    <font>
      <b/>
      <sz val="12"/>
      <color theme="1"/>
      <name val="KoPub돋움체_Pro Light"/>
      <family val="3"/>
      <charset val="129"/>
    </font>
    <font>
      <sz val="14"/>
      <color theme="1"/>
      <name val="KoPub돋움체_Pro Light"/>
      <family val="3"/>
      <charset val="129"/>
    </font>
    <font>
      <b/>
      <sz val="14"/>
      <color theme="1"/>
      <name val="KoPub돋움체_Pro Light"/>
      <family val="3"/>
      <charset val="129"/>
    </font>
    <font>
      <i/>
      <sz val="9"/>
      <color theme="0" tint="-0.249977111117893"/>
      <name val="KoPub돋움체_Pro Light"/>
      <family val="3"/>
      <charset val="129"/>
    </font>
    <font>
      <b/>
      <i/>
      <u/>
      <sz val="11"/>
      <color theme="1"/>
      <name val="KoPub돋움체_Pro Light"/>
      <family val="3"/>
      <charset val="129"/>
    </font>
    <font>
      <b/>
      <sz val="11"/>
      <color theme="1"/>
      <name val="KoPub돋움체_Pro Light"/>
      <family val="3"/>
      <charset val="129"/>
    </font>
    <font>
      <b/>
      <sz val="10"/>
      <color theme="1"/>
      <name val="KoPub돋움체_Pro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Wingdings"/>
      <family val="2"/>
      <charset val="2"/>
    </font>
    <font>
      <sz val="11"/>
      <color theme="0" tint="-0.249977111117893"/>
      <name val="KoPub돋움체_Pro 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7" fillId="0" borderId="0"/>
  </cellStyleXfs>
  <cellXfs count="197">
    <xf numFmtId="0" fontId="0" fillId="0" borderId="0" xfId="0">
      <alignment vertical="center"/>
    </xf>
    <xf numFmtId="0" fontId="5" fillId="0" borderId="0" xfId="1" applyFont="1">
      <alignment vertical="center"/>
    </xf>
    <xf numFmtId="0" fontId="4" fillId="0" borderId="0" xfId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3" fillId="0" borderId="0" xfId="1" applyFont="1" applyAlignment="1">
      <alignment horizontal="right" vertical="center"/>
    </xf>
    <xf numFmtId="0" fontId="14" fillId="0" borderId="0" xfId="1" applyFont="1" applyAlignment="1">
      <alignment horizontal="right"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17" fillId="0" borderId="0" xfId="1" applyFont="1" applyAlignment="1">
      <alignment horizontal="right" vertical="center"/>
    </xf>
    <xf numFmtId="0" fontId="18" fillId="0" borderId="0" xfId="1" applyFont="1" applyAlignment="1">
      <alignment horizontal="right" vertical="center"/>
    </xf>
    <xf numFmtId="0" fontId="19" fillId="0" borderId="0" xfId="1" applyFont="1">
      <alignment vertical="center"/>
    </xf>
    <xf numFmtId="0" fontId="20" fillId="0" borderId="0" xfId="1" applyFont="1" applyAlignment="1">
      <alignment horizontal="right" vertical="center"/>
    </xf>
    <xf numFmtId="0" fontId="20" fillId="0" borderId="0" xfId="1" quotePrefix="1" applyFont="1" applyAlignment="1">
      <alignment horizontal="right" vertical="center"/>
    </xf>
    <xf numFmtId="0" fontId="28" fillId="0" borderId="0" xfId="2" applyFont="1" applyAlignment="1">
      <alignment horizontal="center" vertical="center"/>
    </xf>
    <xf numFmtId="0" fontId="28" fillId="0" borderId="0" xfId="2" applyFont="1" applyAlignment="1">
      <alignment vertical="center"/>
    </xf>
    <xf numFmtId="0" fontId="31" fillId="3" borderId="2" xfId="2" applyFont="1" applyFill="1" applyBorder="1" applyAlignment="1">
      <alignment horizontal="center" vertical="center"/>
    </xf>
    <xf numFmtId="0" fontId="31" fillId="3" borderId="3" xfId="2" applyFont="1" applyFill="1" applyBorder="1" applyAlignment="1">
      <alignment horizontal="center" vertical="center"/>
    </xf>
    <xf numFmtId="14" fontId="31" fillId="3" borderId="3" xfId="2" applyNumberFormat="1" applyFont="1" applyFill="1" applyBorder="1" applyAlignment="1">
      <alignment horizontal="center" vertical="center"/>
    </xf>
    <xf numFmtId="0" fontId="31" fillId="3" borderId="4" xfId="2" applyFont="1" applyFill="1" applyBorder="1" applyAlignment="1">
      <alignment horizontal="center" vertical="center"/>
    </xf>
    <xf numFmtId="49" fontId="34" fillId="0" borderId="2" xfId="2" applyNumberFormat="1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 wrapText="1"/>
    </xf>
    <xf numFmtId="14" fontId="35" fillId="0" borderId="4" xfId="2" applyNumberFormat="1" applyFont="1" applyBorder="1" applyAlignment="1">
      <alignment horizontal="center" vertical="center" wrapText="1"/>
    </xf>
    <xf numFmtId="0" fontId="36" fillId="0" borderId="0" xfId="2" applyFont="1" applyAlignment="1">
      <alignment vertical="center"/>
    </xf>
    <xf numFmtId="49" fontId="35" fillId="0" borderId="3" xfId="2" applyNumberFormat="1" applyFont="1" applyBorder="1" applyAlignment="1">
      <alignment horizontal="center" vertical="center"/>
    </xf>
    <xf numFmtId="49" fontId="28" fillId="0" borderId="0" xfId="2" applyNumberFormat="1" applyFont="1" applyAlignment="1">
      <alignment horizontal="center" vertical="center"/>
    </xf>
    <xf numFmtId="0" fontId="31" fillId="3" borderId="3" xfId="2" applyFont="1" applyFill="1" applyBorder="1" applyAlignment="1">
      <alignment horizontal="center" vertical="center" wrapText="1"/>
    </xf>
    <xf numFmtId="49" fontId="35" fillId="0" borderId="2" xfId="2" applyNumberFormat="1" applyFont="1" applyBorder="1" applyAlignment="1">
      <alignment horizontal="center" vertical="center"/>
    </xf>
    <xf numFmtId="14" fontId="35" fillId="0" borderId="3" xfId="2" applyNumberFormat="1" applyFont="1" applyBorder="1" applyAlignment="1">
      <alignment horizontal="center" vertical="center" wrapText="1"/>
    </xf>
    <xf numFmtId="0" fontId="35" fillId="0" borderId="0" xfId="2" applyFont="1" applyAlignment="1">
      <alignment horizontal="center" vertical="center"/>
    </xf>
    <xf numFmtId="0" fontId="35" fillId="0" borderId="0" xfId="2" applyFont="1" applyAlignment="1">
      <alignment vertical="center"/>
    </xf>
    <xf numFmtId="0" fontId="39" fillId="2" borderId="0" xfId="0" applyFont="1" applyFill="1">
      <alignment vertical="center"/>
    </xf>
    <xf numFmtId="0" fontId="39" fillId="0" borderId="0" xfId="0" applyFont="1">
      <alignment vertical="center"/>
    </xf>
    <xf numFmtId="0" fontId="41" fillId="2" borderId="1" xfId="0" applyFont="1" applyFill="1" applyBorder="1" applyAlignment="1">
      <alignment horizontal="center" vertical="center" wrapText="1"/>
    </xf>
    <xf numFmtId="0" fontId="42" fillId="2" borderId="0" xfId="0" applyFont="1" applyFill="1">
      <alignment vertical="center"/>
    </xf>
    <xf numFmtId="0" fontId="43" fillId="2" borderId="0" xfId="0" applyFont="1" applyFill="1">
      <alignment vertical="center"/>
    </xf>
    <xf numFmtId="0" fontId="42" fillId="0" borderId="0" xfId="0" applyFont="1">
      <alignment vertical="center"/>
    </xf>
    <xf numFmtId="0" fontId="37" fillId="2" borderId="0" xfId="0" applyFont="1" applyFill="1">
      <alignment vertical="center"/>
    </xf>
    <xf numFmtId="0" fontId="37" fillId="0" borderId="0" xfId="0" applyFont="1">
      <alignment vertical="center"/>
    </xf>
    <xf numFmtId="0" fontId="37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44" fillId="2" borderId="0" xfId="0" applyFont="1" applyFill="1">
      <alignment vertical="center"/>
    </xf>
    <xf numFmtId="0" fontId="4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38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14" fontId="23" fillId="0" borderId="0" xfId="1" applyNumberFormat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1" fillId="0" borderId="0" xfId="1" applyFont="1" applyAlignment="1">
      <alignment horizontal="left"/>
    </xf>
    <xf numFmtId="0" fontId="2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35" fillId="0" borderId="3" xfId="2" quotePrefix="1" applyNumberFormat="1" applyFont="1" applyBorder="1" applyAlignment="1">
      <alignment horizontal="left" vertical="center" wrapText="1"/>
    </xf>
    <xf numFmtId="49" fontId="35" fillId="0" borderId="3" xfId="2" applyNumberFormat="1" applyFont="1" applyBorder="1" applyAlignment="1">
      <alignment horizontal="left" vertical="center" wrapText="1"/>
    </xf>
    <xf numFmtId="0" fontId="29" fillId="0" borderId="0" xfId="2" applyFont="1" applyAlignment="1">
      <alignment horizontal="left" vertical="center" shrinkToFit="1"/>
    </xf>
    <xf numFmtId="49" fontId="31" fillId="3" borderId="3" xfId="2" applyNumberFormat="1" applyFont="1" applyFill="1" applyBorder="1" applyAlignment="1">
      <alignment horizontal="center" vertical="center"/>
    </xf>
    <xf numFmtId="49" fontId="35" fillId="0" borderId="3" xfId="2" applyNumberFormat="1" applyFont="1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49" fontId="35" fillId="0" borderId="4" xfId="2" applyNumberFormat="1" applyFont="1" applyBorder="1" applyAlignment="1">
      <alignment horizontal="left" vertical="center"/>
    </xf>
    <xf numFmtId="49" fontId="35" fillId="0" borderId="2" xfId="2" applyNumberFormat="1" applyFont="1" applyBorder="1" applyAlignment="1">
      <alignment horizontal="left" vertical="center"/>
    </xf>
    <xf numFmtId="0" fontId="43" fillId="5" borderId="1" xfId="0" applyFont="1" applyFill="1" applyBorder="1" applyAlignment="1">
      <alignment horizontal="center" vertical="center"/>
    </xf>
    <xf numFmtId="0" fontId="43" fillId="5" borderId="5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0" fontId="37" fillId="2" borderId="1" xfId="0" applyFont="1" applyFill="1" applyBorder="1">
      <alignment vertical="center"/>
    </xf>
    <xf numFmtId="0" fontId="37" fillId="2" borderId="1" xfId="0" quotePrefix="1" applyFont="1" applyFill="1" applyBorder="1" applyAlignment="1">
      <alignment horizontal="left" vertical="center" wrapText="1"/>
    </xf>
    <xf numFmtId="0" fontId="37" fillId="2" borderId="1" xfId="0" quotePrefix="1" applyFont="1" applyFill="1" applyBorder="1" applyAlignment="1">
      <alignment horizontal="left" vertical="center"/>
    </xf>
    <xf numFmtId="0" fontId="43" fillId="5" borderId="1" xfId="0" applyFont="1" applyFill="1" applyBorder="1" applyAlignment="1">
      <alignment horizontal="center" vertical="center"/>
    </xf>
    <xf numFmtId="0" fontId="37" fillId="0" borderId="1" xfId="0" applyFont="1" applyBorder="1">
      <alignment vertical="center"/>
    </xf>
    <xf numFmtId="0" fontId="37" fillId="0" borderId="1" xfId="0" applyFont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1" fillId="2" borderId="0" xfId="0" applyFont="1" applyFill="1">
      <alignment vertical="center"/>
    </xf>
    <xf numFmtId="0" fontId="41" fillId="5" borderId="5" xfId="0" applyFont="1" applyFill="1" applyBorder="1" applyAlignment="1">
      <alignment horizontal="center" vertical="center"/>
    </xf>
    <xf numFmtId="0" fontId="39" fillId="2" borderId="1" xfId="0" applyFont="1" applyFill="1" applyBorder="1">
      <alignment vertical="center"/>
    </xf>
    <xf numFmtId="49" fontId="39" fillId="2" borderId="1" xfId="0" applyNumberFormat="1" applyFont="1" applyFill="1" applyBorder="1" applyAlignment="1">
      <alignment horizontal="center" vertical="center"/>
    </xf>
    <xf numFmtId="0" fontId="39" fillId="4" borderId="1" xfId="0" applyFont="1" applyFill="1" applyBorder="1">
      <alignment vertical="center"/>
    </xf>
    <xf numFmtId="0" fontId="45" fillId="2" borderId="1" xfId="0" applyFont="1" applyFill="1" applyBorder="1" applyAlignment="1">
      <alignment horizontal="center" vertical="center"/>
    </xf>
    <xf numFmtId="0" fontId="45" fillId="2" borderId="1" xfId="0" applyFont="1" applyFill="1" applyBorder="1">
      <alignment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39" fillId="2" borderId="5" xfId="0" applyFont="1" applyFill="1" applyBorder="1" applyAlignment="1">
      <alignment horizontal="left" vertical="center" wrapText="1"/>
    </xf>
    <xf numFmtId="0" fontId="39" fillId="2" borderId="7" xfId="0" applyFont="1" applyFill="1" applyBorder="1" applyAlignment="1">
      <alignment horizontal="left" vertical="center" wrapText="1"/>
    </xf>
    <xf numFmtId="0" fontId="39" fillId="2" borderId="6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41" fillId="4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/>
    </xf>
    <xf numFmtId="0" fontId="41" fillId="7" borderId="5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41" fillId="7" borderId="8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 wrapText="1"/>
    </xf>
    <xf numFmtId="0" fontId="41" fillId="8" borderId="9" xfId="0" applyFont="1" applyFill="1" applyBorder="1" applyAlignment="1">
      <alignment horizontal="center" vertical="center" wrapText="1"/>
    </xf>
    <xf numFmtId="0" fontId="41" fillId="8" borderId="5" xfId="0" applyFont="1" applyFill="1" applyBorder="1" applyAlignment="1">
      <alignment horizontal="center" vertical="center" wrapText="1"/>
    </xf>
    <xf numFmtId="0" fontId="41" fillId="8" borderId="6" xfId="0" applyFont="1" applyFill="1" applyBorder="1" applyAlignment="1">
      <alignment horizontal="center" vertical="center" wrapText="1"/>
    </xf>
    <xf numFmtId="0" fontId="41" fillId="9" borderId="9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/>
    </xf>
    <xf numFmtId="0" fontId="41" fillId="7" borderId="1" xfId="0" applyFont="1" applyFill="1" applyBorder="1" applyAlignment="1">
      <alignment horizontal="center" vertical="center"/>
    </xf>
    <xf numFmtId="0" fontId="41" fillId="7" borderId="10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 wrapText="1"/>
    </xf>
    <xf numFmtId="0" fontId="41" fillId="8" borderId="1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vertical="center" wrapText="1"/>
    </xf>
    <xf numFmtId="0" fontId="41" fillId="9" borderId="1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0" fontId="39" fillId="2" borderId="1" xfId="0" quotePrefix="1" applyFont="1" applyFill="1" applyBorder="1" applyAlignment="1">
      <alignment horizontal="center" vertical="center" wrapText="1"/>
    </xf>
    <xf numFmtId="0" fontId="39" fillId="0" borderId="1" xfId="0" applyFont="1" applyBorder="1">
      <alignment vertical="center"/>
    </xf>
    <xf numFmtId="0" fontId="39" fillId="0" borderId="1" xfId="0" applyFont="1" applyBorder="1" applyAlignment="1">
      <alignment horizontal="center" vertical="center"/>
    </xf>
    <xf numFmtId="0" fontId="46" fillId="6" borderId="12" xfId="0" applyFont="1" applyFill="1" applyBorder="1" applyAlignment="1">
      <alignment horizontal="center" vertical="center"/>
    </xf>
    <xf numFmtId="0" fontId="39" fillId="2" borderId="13" xfId="0" applyFont="1" applyFill="1" applyBorder="1">
      <alignment vertical="center"/>
    </xf>
    <xf numFmtId="0" fontId="46" fillId="6" borderId="13" xfId="0" applyFont="1" applyFill="1" applyBorder="1" applyAlignment="1">
      <alignment horizontal="center" vertical="center"/>
    </xf>
    <xf numFmtId="0" fontId="39" fillId="2" borderId="14" xfId="0" applyFont="1" applyFill="1" applyBorder="1">
      <alignment vertical="center"/>
    </xf>
    <xf numFmtId="0" fontId="46" fillId="6" borderId="15" xfId="0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/>
    </xf>
    <xf numFmtId="0" fontId="39" fillId="2" borderId="16" xfId="0" applyFont="1" applyFill="1" applyBorder="1">
      <alignment vertical="center"/>
    </xf>
    <xf numFmtId="0" fontId="46" fillId="6" borderId="17" xfId="0" applyFont="1" applyFill="1" applyBorder="1" applyAlignment="1">
      <alignment horizontal="center" vertical="center"/>
    </xf>
    <xf numFmtId="0" fontId="39" fillId="2" borderId="18" xfId="0" applyFont="1" applyFill="1" applyBorder="1">
      <alignment vertical="center"/>
    </xf>
    <xf numFmtId="0" fontId="46" fillId="6" borderId="18" xfId="0" applyFont="1" applyFill="1" applyBorder="1" applyAlignment="1">
      <alignment horizontal="center" vertical="center"/>
    </xf>
    <xf numFmtId="0" fontId="39" fillId="2" borderId="19" xfId="0" applyFont="1" applyFill="1" applyBorder="1">
      <alignment vertical="center"/>
    </xf>
    <xf numFmtId="0" fontId="46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6" fillId="6" borderId="20" xfId="0" applyFont="1" applyFill="1" applyBorder="1" applyAlignment="1">
      <alignment horizontal="center" vertical="center"/>
    </xf>
    <xf numFmtId="0" fontId="39" fillId="2" borderId="21" xfId="0" quotePrefix="1" applyFont="1" applyFill="1" applyBorder="1" applyAlignment="1">
      <alignment horizontal="left" vertical="center" wrapText="1"/>
    </xf>
    <xf numFmtId="0" fontId="46" fillId="6" borderId="22" xfId="0" applyFont="1" applyFill="1" applyBorder="1" applyAlignment="1">
      <alignment horizontal="center" vertical="center"/>
    </xf>
    <xf numFmtId="0" fontId="39" fillId="2" borderId="23" xfId="0" quotePrefix="1" applyFont="1" applyFill="1" applyBorder="1" applyAlignment="1">
      <alignment horizontal="left" vertical="center" wrapText="1"/>
    </xf>
    <xf numFmtId="0" fontId="46" fillId="6" borderId="11" xfId="0" applyFont="1" applyFill="1" applyBorder="1" applyAlignment="1">
      <alignment horizontal="center" vertical="center"/>
    </xf>
    <xf numFmtId="0" fontId="39" fillId="2" borderId="24" xfId="0" quotePrefix="1" applyFont="1" applyFill="1" applyBorder="1" applyAlignment="1">
      <alignment horizontal="left" vertical="center" wrapText="1"/>
    </xf>
    <xf numFmtId="0" fontId="39" fillId="2" borderId="18" xfId="0" quotePrefix="1" applyFont="1" applyFill="1" applyBorder="1" applyAlignment="1">
      <alignment horizontal="left" vertical="top" wrapText="1"/>
    </xf>
    <xf numFmtId="0" fontId="39" fillId="2" borderId="19" xfId="0" quotePrefix="1" applyFont="1" applyFill="1" applyBorder="1" applyAlignment="1">
      <alignment horizontal="left" vertical="top" wrapText="1"/>
    </xf>
    <xf numFmtId="0" fontId="46" fillId="2" borderId="0" xfId="0" applyFont="1" applyFill="1">
      <alignment vertical="center"/>
    </xf>
    <xf numFmtId="0" fontId="46" fillId="6" borderId="14" xfId="0" applyFont="1" applyFill="1" applyBorder="1" applyAlignment="1">
      <alignment horizontal="center" vertical="center"/>
    </xf>
    <xf numFmtId="0" fontId="47" fillId="4" borderId="15" xfId="0" applyFont="1" applyFill="1" applyBorder="1" applyAlignment="1">
      <alignment horizontal="left" vertical="center"/>
    </xf>
    <xf numFmtId="0" fontId="47" fillId="4" borderId="1" xfId="0" applyFont="1" applyFill="1" applyBorder="1">
      <alignment vertical="center"/>
    </xf>
    <xf numFmtId="0" fontId="47" fillId="4" borderId="17" xfId="0" applyFont="1" applyFill="1" applyBorder="1" applyAlignment="1">
      <alignment horizontal="left" vertical="center"/>
    </xf>
    <xf numFmtId="0" fontId="47" fillId="4" borderId="18" xfId="0" applyFont="1" applyFill="1" applyBorder="1">
      <alignment vertical="center"/>
    </xf>
    <xf numFmtId="0" fontId="39" fillId="2" borderId="18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left" vertical="center"/>
    </xf>
    <xf numFmtId="0" fontId="46" fillId="4" borderId="13" xfId="0" applyFont="1" applyFill="1" applyBorder="1" applyAlignment="1">
      <alignment horizontal="center" vertical="center"/>
    </xf>
    <xf numFmtId="0" fontId="46" fillId="4" borderId="14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left" vertical="center"/>
    </xf>
    <xf numFmtId="9" fontId="39" fillId="0" borderId="16" xfId="0" applyNumberFormat="1" applyFont="1" applyBorder="1" applyAlignment="1">
      <alignment horizontal="center" vertical="center"/>
    </xf>
    <xf numFmtId="0" fontId="46" fillId="4" borderId="18" xfId="0" applyFont="1" applyFill="1" applyBorder="1" applyAlignment="1">
      <alignment horizontal="center" vertical="center"/>
    </xf>
    <xf numFmtId="0" fontId="46" fillId="4" borderId="19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8" fillId="6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48" fillId="6" borderId="1" xfId="0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51" fillId="2" borderId="0" xfId="0" applyFont="1" applyFill="1">
      <alignment vertical="center"/>
    </xf>
    <xf numFmtId="0" fontId="39" fillId="2" borderId="0" xfId="0" applyFont="1" applyFill="1" applyBorder="1">
      <alignment vertical="center"/>
    </xf>
    <xf numFmtId="0" fontId="41" fillId="2" borderId="0" xfId="0" applyFont="1" applyFill="1" applyBorder="1" applyAlignment="1">
      <alignment vertical="center" wrapText="1"/>
    </xf>
    <xf numFmtId="0" fontId="38" fillId="2" borderId="0" xfId="0" applyFont="1" applyFill="1" applyBorder="1" applyAlignment="1">
      <alignment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22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left" vertical="center"/>
    </xf>
    <xf numFmtId="0" fontId="37" fillId="2" borderId="6" xfId="0" applyFont="1" applyFill="1" applyBorder="1" applyAlignment="1">
      <alignment horizontal="left" vertical="center"/>
    </xf>
    <xf numFmtId="0" fontId="37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left" vertical="center" wrapText="1"/>
    </xf>
    <xf numFmtId="0" fontId="41" fillId="2" borderId="5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</cellXfs>
  <cellStyles count="3">
    <cellStyle name="Normal" xfId="0" builtinId="0"/>
    <cellStyle name="표준 2 2 2" xfId="2" xr:uid="{5DDA104C-9E69-43A7-8F73-1875126A1CC7}"/>
    <cellStyle name="표준 3 2" xfId="1" xr:uid="{0AB63707-4522-4F61-B0FC-FBFB9C9323BB}"/>
  </cellStyles>
  <dxfs count="2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colors>
    <mruColors>
      <color rgb="FF8DC8E8"/>
      <color rgb="FF00A9CE"/>
      <color rgb="FFFFCCCC"/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138564</xdr:colOff>
      <xdr:row>0</xdr:row>
      <xdr:rowOff>136070</xdr:rowOff>
    </xdr:from>
    <xdr:ext cx="1756388" cy="638400"/>
    <xdr:pic>
      <xdr:nvPicPr>
        <xdr:cNvPr id="2" name="그림 1">
          <a:extLst>
            <a:ext uri="{FF2B5EF4-FFF2-40B4-BE49-F238E27FC236}">
              <a16:creationId xmlns:a16="http://schemas.microsoft.com/office/drawing/2014/main" id="{FD3CFA0C-644D-489F-91A5-5F6E25E9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679" y="132260"/>
          <a:ext cx="1756388" cy="638400"/>
        </a:xfrm>
        <a:prstGeom prst="rect">
          <a:avLst/>
        </a:prstGeom>
      </xdr:spPr>
    </xdr:pic>
    <xdr:clientData/>
  </xdr:oneCellAnchor>
  <xdr:oneCellAnchor>
    <xdr:from>
      <xdr:col>6</xdr:col>
      <xdr:colOff>702136</xdr:colOff>
      <xdr:row>17</xdr:row>
      <xdr:rowOff>16140</xdr:rowOff>
    </xdr:from>
    <xdr:ext cx="1317436" cy="339142"/>
    <xdr:pic>
      <xdr:nvPicPr>
        <xdr:cNvPr id="3" name="그림 2">
          <a:extLst>
            <a:ext uri="{FF2B5EF4-FFF2-40B4-BE49-F238E27FC236}">
              <a16:creationId xmlns:a16="http://schemas.microsoft.com/office/drawing/2014/main" id="{57D0D0E4-D917-4F50-AD8E-A6DE0577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46" y="6020700"/>
          <a:ext cx="1317436" cy="339142"/>
        </a:xfrm>
        <a:prstGeom prst="rect">
          <a:avLst/>
        </a:prstGeom>
      </xdr:spPr>
    </xdr:pic>
    <xdr:clientData/>
  </xdr:oneCellAnchor>
  <xdr:twoCellAnchor>
    <xdr:from>
      <xdr:col>2</xdr:col>
      <xdr:colOff>26397</xdr:colOff>
      <xdr:row>8</xdr:row>
      <xdr:rowOff>313509</xdr:rowOff>
    </xdr:from>
    <xdr:to>
      <xdr:col>3</xdr:col>
      <xdr:colOff>484957</xdr:colOff>
      <xdr:row>8</xdr:row>
      <xdr:rowOff>313509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6850DFAF-A908-4378-A20C-D1283512612E}"/>
            </a:ext>
          </a:extLst>
        </xdr:cNvPr>
        <xdr:cNvCxnSpPr/>
      </xdr:nvCxnSpPr>
      <xdr:spPr>
        <a:xfrm>
          <a:off x="660762" y="3334839"/>
          <a:ext cx="1146265" cy="0"/>
        </a:xfrm>
        <a:prstGeom prst="line">
          <a:avLst/>
        </a:prstGeom>
        <a:ln w="19050">
          <a:solidFill>
            <a:srgbClr val="F582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532583</xdr:colOff>
      <xdr:row>2</xdr:row>
      <xdr:rowOff>186690</xdr:rowOff>
    </xdr:from>
    <xdr:ext cx="4600806" cy="504000"/>
    <xdr:pic>
      <xdr:nvPicPr>
        <xdr:cNvPr id="5" name="그림 4">
          <a:extLst>
            <a:ext uri="{FF2B5EF4-FFF2-40B4-BE49-F238E27FC236}">
              <a16:creationId xmlns:a16="http://schemas.microsoft.com/office/drawing/2014/main" id="{0EAF3C0D-A429-4515-8B8B-18A8B16DF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3" y="958215"/>
          <a:ext cx="4600806" cy="50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74106</xdr:colOff>
      <xdr:row>2</xdr:row>
      <xdr:rowOff>45791</xdr:rowOff>
    </xdr:from>
    <xdr:to>
      <xdr:col>1</xdr:col>
      <xdr:colOff>1258290</xdr:colOff>
      <xdr:row>3</xdr:row>
      <xdr:rowOff>116205</xdr:rowOff>
    </xdr:to>
    <xdr:pic>
      <xdr:nvPicPr>
        <xdr:cNvPr id="2" name="Picture 1" descr="Mirae Asset Securities Logo">
          <a:extLst>
            <a:ext uri="{FF2B5EF4-FFF2-40B4-BE49-F238E27FC236}">
              <a16:creationId xmlns:a16="http://schemas.microsoft.com/office/drawing/2014/main" id="{AE567917-7B29-453A-B955-7CE5EE4F0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8" r="25708"/>
        <a:stretch>
          <a:fillRect/>
        </a:stretch>
      </xdr:blipFill>
      <xdr:spPr bwMode="auto">
        <a:xfrm>
          <a:off x="245556" y="333446"/>
          <a:ext cx="1184184" cy="5066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74106</xdr:colOff>
      <xdr:row>2</xdr:row>
      <xdr:rowOff>45791</xdr:rowOff>
    </xdr:from>
    <xdr:to>
      <xdr:col>1</xdr:col>
      <xdr:colOff>1258290</xdr:colOff>
      <xdr:row>3</xdr:row>
      <xdr:rowOff>116205</xdr:rowOff>
    </xdr:to>
    <xdr:pic>
      <xdr:nvPicPr>
        <xdr:cNvPr id="2" name="Picture 1" descr="Mirae Asset Securities Logo">
          <a:extLst>
            <a:ext uri="{FF2B5EF4-FFF2-40B4-BE49-F238E27FC236}">
              <a16:creationId xmlns:a16="http://schemas.microsoft.com/office/drawing/2014/main" id="{9D8FB2CE-5D59-4E15-9FB8-07A4CB6D4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8" r="25708"/>
        <a:stretch>
          <a:fillRect/>
        </a:stretch>
      </xdr:blipFill>
      <xdr:spPr bwMode="auto">
        <a:xfrm>
          <a:off x="245556" y="331541"/>
          <a:ext cx="1184184" cy="50856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AED7-F3B1-4712-9C73-D6D51C0BD2A3}">
  <sheetPr>
    <tabColor rgb="FFFFFF00"/>
  </sheetPr>
  <dimension ref="A1:P18"/>
  <sheetViews>
    <sheetView showGridLines="0" showRuler="0" view="pageBreakPreview" zoomScale="85" zoomScaleNormal="70" zoomScaleSheetLayoutView="85" zoomScalePageLayoutView="80" workbookViewId="0">
      <selection activeCell="C12" sqref="C12"/>
    </sheetView>
  </sheetViews>
  <sheetFormatPr defaultColWidth="10" defaultRowHeight="13.2" x14ac:dyDescent="0.4"/>
  <cols>
    <col min="1" max="1" width="7.3984375" style="2" customWidth="1"/>
    <col min="2" max="2" width="1" style="2" customWidth="1"/>
    <col min="3" max="5" width="9" style="2" customWidth="1"/>
    <col min="6" max="11" width="9.59765625" style="2" customWidth="1"/>
    <col min="12" max="16" width="9" style="2" customWidth="1"/>
    <col min="17" max="16384" width="10" style="2"/>
  </cols>
  <sheetData>
    <row r="1" spans="1:16" ht="39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40.200000000000003" x14ac:dyDescent="0.4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8" customFormat="1" ht="37.200000000000003" customHeight="1" x14ac:dyDescent="0.4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6"/>
      <c r="O4" s="7"/>
      <c r="P4" s="4"/>
    </row>
    <row r="5" spans="1:16" s="8" customFormat="1" ht="29.4" customHeight="1" x14ac:dyDescent="0.4">
      <c r="A5" s="4"/>
      <c r="B5" s="9"/>
      <c r="C5" s="10" t="s">
        <v>2</v>
      </c>
      <c r="D5" s="4"/>
      <c r="E5" s="4"/>
      <c r="F5" s="4"/>
      <c r="G5" s="4"/>
      <c r="H5" s="4"/>
      <c r="I5" s="4"/>
      <c r="J5" s="4"/>
      <c r="K5" s="4"/>
      <c r="L5" s="4"/>
      <c r="M5" s="4"/>
      <c r="N5" s="11"/>
      <c r="O5" s="12"/>
      <c r="P5" s="4"/>
    </row>
    <row r="6" spans="1:16" s="8" customFormat="1" ht="3.6" customHeight="1" x14ac:dyDescent="0.4">
      <c r="A6" s="4"/>
      <c r="B6" s="9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11"/>
      <c r="O6" s="12"/>
      <c r="P6" s="4"/>
    </row>
    <row r="7" spans="1:16" ht="46.8" customHeight="1" x14ac:dyDescent="0.4">
      <c r="A7" s="1"/>
      <c r="B7" s="14"/>
      <c r="C7" s="14" t="s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16"/>
      <c r="P7" s="1"/>
    </row>
    <row r="8" spans="1:16" ht="35.4" customHeight="1" x14ac:dyDescent="0.4">
      <c r="A8" s="1"/>
      <c r="B8" s="1"/>
      <c r="C8" s="14" t="s">
        <v>63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7"/>
      <c r="P8" s="1"/>
    </row>
    <row r="9" spans="1:16" ht="35.4" customHeight="1" x14ac:dyDescent="0.4">
      <c r="A9" s="1"/>
      <c r="B9" s="1"/>
      <c r="C9" s="1"/>
      <c r="D9" s="1"/>
      <c r="E9" s="1"/>
      <c r="F9" s="58"/>
      <c r="G9" s="58"/>
      <c r="H9" s="58"/>
      <c r="I9" s="58"/>
      <c r="J9" s="58"/>
      <c r="K9" s="58"/>
      <c r="L9" s="1"/>
      <c r="M9" s="1"/>
      <c r="N9" s="1"/>
      <c r="O9" s="18"/>
      <c r="P9" s="1"/>
    </row>
    <row r="10" spans="1:16" ht="30" x14ac:dyDescent="0.55000000000000004">
      <c r="A10" s="1"/>
      <c r="B10" s="1"/>
      <c r="C10" s="59" t="s">
        <v>61</v>
      </c>
      <c r="D10" s="59"/>
      <c r="E10" s="59"/>
      <c r="F10" s="60"/>
      <c r="G10" s="61"/>
      <c r="H10" s="61"/>
      <c r="I10" s="61"/>
      <c r="J10" s="61"/>
      <c r="K10" s="61"/>
      <c r="L10" s="1"/>
      <c r="M10" s="1"/>
      <c r="N10" s="1"/>
      <c r="O10" s="19"/>
      <c r="P10" s="1"/>
    </row>
    <row r="11" spans="1:16" ht="25.2" x14ac:dyDescent="0.55000000000000004">
      <c r="C11" s="55">
        <v>46077</v>
      </c>
      <c r="D11" s="55"/>
      <c r="E11" s="55"/>
    </row>
    <row r="12" spans="1:16" ht="19.5" customHeight="1" x14ac:dyDescent="0.4">
      <c r="A12" s="1"/>
      <c r="B12" s="1"/>
      <c r="C12" s="1"/>
      <c r="D12" s="1"/>
      <c r="E12" s="1"/>
      <c r="F12" s="56"/>
      <c r="G12" s="56"/>
      <c r="H12" s="56"/>
      <c r="I12" s="56"/>
      <c r="J12" s="56"/>
      <c r="K12" s="56"/>
      <c r="L12" s="1"/>
      <c r="M12" s="1"/>
      <c r="N12" s="1"/>
      <c r="O12" s="1"/>
      <c r="P12" s="1"/>
    </row>
    <row r="13" spans="1:16" ht="22.8" customHeight="1" x14ac:dyDescent="0.4">
      <c r="A13" s="1"/>
      <c r="B13" s="1"/>
      <c r="C13" s="1"/>
      <c r="D13" s="1"/>
      <c r="E13" s="1"/>
      <c r="F13" s="57"/>
      <c r="G13" s="57"/>
      <c r="H13" s="57"/>
      <c r="I13" s="57"/>
      <c r="J13" s="57"/>
      <c r="K13" s="57"/>
      <c r="L13" s="1"/>
      <c r="M13" s="1"/>
      <c r="N13" s="1"/>
      <c r="O13" s="15"/>
      <c r="P13" s="1"/>
    </row>
    <row r="14" spans="1:16" ht="54.6" customHeight="1" x14ac:dyDescent="0.4">
      <c r="A14" s="1"/>
      <c r="B14" s="1"/>
      <c r="C14" s="1"/>
      <c r="D14" s="1"/>
      <c r="E14" s="1"/>
      <c r="F14" s="53"/>
      <c r="G14" s="53"/>
      <c r="H14" s="53"/>
      <c r="I14" s="53"/>
      <c r="J14" s="53"/>
      <c r="K14" s="53"/>
      <c r="L14" s="1"/>
      <c r="M14" s="1"/>
      <c r="N14" s="1"/>
      <c r="O14" s="15"/>
      <c r="P14" s="1"/>
    </row>
    <row r="15" spans="1:16" ht="22.8" customHeight="1" x14ac:dyDescent="0.4">
      <c r="F15" s="54"/>
      <c r="G15" s="54"/>
      <c r="H15" s="54"/>
      <c r="I15" s="54"/>
      <c r="J15" s="54"/>
      <c r="K15" s="54"/>
    </row>
    <row r="16" spans="1:16" ht="11.85" customHeight="1" x14ac:dyDescent="0.4"/>
    <row r="18" ht="39" customHeight="1" x14ac:dyDescent="0.4"/>
  </sheetData>
  <mergeCells count="20">
    <mergeCell ref="F9:G9"/>
    <mergeCell ref="H9:I9"/>
    <mergeCell ref="J9:K9"/>
    <mergeCell ref="C10:E10"/>
    <mergeCell ref="F10:G10"/>
    <mergeCell ref="H10:I10"/>
    <mergeCell ref="J10:K10"/>
    <mergeCell ref="C11:E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</mergeCells>
  <phoneticPr fontId="1" type="noConversion"/>
  <printOptions horizontalCentered="1" verticalCentered="1"/>
  <pageMargins left="0.43307086614173229" right="0.43307086614173229" top="0.47244094488188981" bottom="0.47244094488188981" header="0.31496062992125984" footer="0.31496062992125984"/>
  <pageSetup paperSize="9" scale="98" orientation="landscape" r:id="rId1"/>
  <headerFooter scaleWithDoc="0" alignWithMargins="0">
    <oddFooter xml:space="preserve">&amp;C
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AB89-987A-4227-BCD4-0997003DB88E}">
  <sheetPr>
    <tabColor rgb="FFFFFF00"/>
  </sheetPr>
  <dimension ref="A2:E104"/>
  <sheetViews>
    <sheetView showGridLines="0" showWhiteSpace="0" zoomScale="85" zoomScaleNormal="85" zoomScaleSheetLayoutView="80" zoomScalePageLayoutView="70" workbookViewId="0">
      <selection activeCell="D14" sqref="D14"/>
    </sheetView>
  </sheetViews>
  <sheetFormatPr defaultColWidth="9" defaultRowHeight="17.399999999999999" x14ac:dyDescent="0.4"/>
  <cols>
    <col min="1" max="1" width="17.09765625" style="20" customWidth="1"/>
    <col min="2" max="2" width="34" style="20" customWidth="1"/>
    <col min="3" max="3" width="22.296875" style="21" customWidth="1"/>
    <col min="4" max="4" width="16.19921875" style="21" customWidth="1"/>
    <col min="5" max="5" width="24.8984375" style="21" customWidth="1"/>
    <col min="6" max="6" width="4.09765625" style="21" customWidth="1"/>
    <col min="7" max="16384" width="9" style="21"/>
  </cols>
  <sheetData>
    <row r="2" spans="1:5" ht="28.8" customHeight="1" x14ac:dyDescent="0.4"/>
    <row r="3" spans="1:5" ht="23.4" customHeight="1" x14ac:dyDescent="0.4">
      <c r="A3" s="64" t="s">
        <v>3</v>
      </c>
      <c r="B3" s="64"/>
      <c r="C3" s="64"/>
      <c r="D3" s="64"/>
      <c r="E3" s="64"/>
    </row>
    <row r="4" spans="1:5" ht="21" customHeight="1" x14ac:dyDescent="0.4">
      <c r="A4" s="22" t="s">
        <v>4</v>
      </c>
      <c r="B4" s="23" t="s">
        <v>5</v>
      </c>
      <c r="C4" s="24" t="s">
        <v>6</v>
      </c>
      <c r="D4" s="24" t="s">
        <v>7</v>
      </c>
      <c r="E4" s="25" t="s">
        <v>8</v>
      </c>
    </row>
    <row r="5" spans="1:5" s="29" customFormat="1" ht="21" customHeight="1" x14ac:dyDescent="0.4">
      <c r="A5" s="26" t="s">
        <v>9</v>
      </c>
      <c r="B5" s="27" t="s">
        <v>10</v>
      </c>
      <c r="C5" s="27" t="s">
        <v>11</v>
      </c>
      <c r="D5" s="27" t="s">
        <v>12</v>
      </c>
      <c r="E5" s="28">
        <v>46077</v>
      </c>
    </row>
    <row r="6" spans="1:5" ht="21" customHeight="1" x14ac:dyDescent="0.4">
      <c r="A6" s="26" t="s">
        <v>13</v>
      </c>
      <c r="B6" s="30"/>
      <c r="C6" s="27"/>
      <c r="D6" s="27"/>
      <c r="E6" s="28"/>
    </row>
    <row r="7" spans="1:5" ht="21" customHeight="1" x14ac:dyDescent="0.4">
      <c r="A7" s="26" t="s">
        <v>14</v>
      </c>
      <c r="B7" s="30"/>
      <c r="C7" s="27"/>
      <c r="D7" s="27"/>
      <c r="E7" s="28"/>
    </row>
    <row r="8" spans="1:5" ht="21" customHeight="1" x14ac:dyDescent="0.4">
      <c r="A8" s="31"/>
      <c r="B8" s="31"/>
      <c r="C8" s="31"/>
      <c r="D8" s="31"/>
      <c r="E8" s="31"/>
    </row>
    <row r="9" spans="1:5" ht="22.8" customHeight="1" x14ac:dyDescent="0.4">
      <c r="A9" s="64" t="s">
        <v>15</v>
      </c>
      <c r="B9" s="64"/>
      <c r="C9" s="64" t="s">
        <v>16</v>
      </c>
      <c r="D9" s="64"/>
      <c r="E9" s="64"/>
    </row>
    <row r="10" spans="1:5" ht="21" customHeight="1" x14ac:dyDescent="0.4">
      <c r="A10" s="22" t="s">
        <v>17</v>
      </c>
      <c r="B10" s="65" t="s">
        <v>18</v>
      </c>
      <c r="C10" s="65"/>
      <c r="D10" s="32" t="s">
        <v>19</v>
      </c>
      <c r="E10" s="25" t="s">
        <v>20</v>
      </c>
    </row>
    <row r="11" spans="1:5" ht="23.4" customHeight="1" x14ac:dyDescent="0.4">
      <c r="A11" s="33" t="s">
        <v>62</v>
      </c>
      <c r="B11" s="72" t="s">
        <v>64</v>
      </c>
      <c r="C11" s="73"/>
      <c r="D11" s="34">
        <v>46077</v>
      </c>
      <c r="E11" s="28" t="s">
        <v>12</v>
      </c>
    </row>
    <row r="12" spans="1:5" ht="23.4" customHeight="1" x14ac:dyDescent="0.4">
      <c r="A12" s="33"/>
      <c r="B12" s="63"/>
      <c r="C12" s="66"/>
      <c r="D12" s="34"/>
      <c r="E12" s="28"/>
    </row>
    <row r="13" spans="1:5" ht="23.4" customHeight="1" x14ac:dyDescent="0.4">
      <c r="A13" s="33"/>
      <c r="B13" s="63"/>
      <c r="C13" s="66"/>
      <c r="D13" s="34"/>
      <c r="E13" s="28"/>
    </row>
    <row r="14" spans="1:5" ht="23.4" customHeight="1" x14ac:dyDescent="0.4">
      <c r="A14" s="33"/>
      <c r="B14" s="63"/>
      <c r="C14" s="66"/>
      <c r="D14" s="34"/>
      <c r="E14" s="28"/>
    </row>
    <row r="15" spans="1:5" ht="23.4" customHeight="1" x14ac:dyDescent="0.4">
      <c r="A15" s="33"/>
      <c r="B15" s="63"/>
      <c r="C15" s="66"/>
      <c r="D15" s="34"/>
      <c r="E15" s="28"/>
    </row>
    <row r="16" spans="1:5" ht="23.4" customHeight="1" x14ac:dyDescent="0.4">
      <c r="A16" s="33"/>
      <c r="B16" s="63"/>
      <c r="C16" s="66"/>
      <c r="D16" s="34"/>
      <c r="E16" s="28"/>
    </row>
    <row r="17" spans="1:5" ht="23.4" customHeight="1" x14ac:dyDescent="0.4">
      <c r="A17" s="33"/>
      <c r="B17" s="62"/>
      <c r="C17" s="63"/>
      <c r="D17" s="34"/>
      <c r="E17" s="28"/>
    </row>
    <row r="18" spans="1:5" ht="23.4" customHeight="1" x14ac:dyDescent="0.4">
      <c r="A18" s="33"/>
      <c r="B18" s="62"/>
      <c r="C18" s="63"/>
      <c r="D18" s="34"/>
      <c r="E18" s="28"/>
    </row>
    <row r="19" spans="1:5" ht="23.4" customHeight="1" x14ac:dyDescent="0.4">
      <c r="A19" s="33"/>
      <c r="B19" s="62"/>
      <c r="C19" s="63"/>
      <c r="D19" s="34"/>
      <c r="E19" s="28"/>
    </row>
    <row r="20" spans="1:5" x14ac:dyDescent="0.4">
      <c r="A20" s="35"/>
      <c r="B20" s="35"/>
      <c r="C20" s="36"/>
      <c r="D20" s="36"/>
      <c r="E20" s="36"/>
    </row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</sheetData>
  <mergeCells count="12">
    <mergeCell ref="B19:C19"/>
    <mergeCell ref="A3:E3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47" right="0.39370078740157483" top="0.74803149606299213" bottom="0.74803149606299213" header="0.31496062992125984" footer="0.31496062992125984"/>
  <pageSetup paperSize="9" orientation="landscape" r:id="rId1"/>
  <headerFooter alignWithMargins="0">
    <oddHeader>&amp;R&amp;G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A390-7E71-425B-8C4D-A334AC9B9233}">
  <dimension ref="A1:K17"/>
  <sheetViews>
    <sheetView view="pageBreakPreview" zoomScale="85" zoomScaleNormal="85" zoomScaleSheetLayoutView="85" workbookViewId="0">
      <selection activeCell="E6" sqref="E6:F6"/>
    </sheetView>
  </sheetViews>
  <sheetFormatPr defaultRowHeight="13.8" x14ac:dyDescent="0.4"/>
  <cols>
    <col min="1" max="2" width="3" style="38" customWidth="1"/>
    <col min="3" max="3" width="8.8984375" style="38" customWidth="1"/>
    <col min="4" max="4" width="29.09765625" style="38" customWidth="1"/>
    <col min="5" max="5" width="21.3984375" style="38" customWidth="1"/>
    <col min="6" max="6" width="55.5" style="38" customWidth="1"/>
    <col min="7" max="7" width="23.5" style="38" customWidth="1"/>
    <col min="8" max="8" width="4.3984375" style="38" customWidth="1"/>
    <col min="9" max="16384" width="8.796875" style="38"/>
  </cols>
  <sheetData>
    <row r="1" spans="1:11" ht="12" customHeight="1" x14ac:dyDescent="0.4">
      <c r="A1" s="37"/>
      <c r="B1" s="37"/>
      <c r="C1" s="37"/>
      <c r="D1" s="37"/>
      <c r="E1" s="37"/>
      <c r="F1" s="37"/>
      <c r="G1" s="37"/>
      <c r="H1" s="37"/>
    </row>
    <row r="2" spans="1:11" ht="18" x14ac:dyDescent="0.4">
      <c r="A2" s="40"/>
      <c r="B2" s="40" t="s">
        <v>717</v>
      </c>
      <c r="C2" s="40"/>
      <c r="D2" s="40"/>
      <c r="E2" s="40"/>
      <c r="F2" s="40"/>
      <c r="G2" s="40"/>
      <c r="H2" s="40"/>
      <c r="I2" s="42"/>
      <c r="J2" s="42"/>
      <c r="K2" s="42"/>
    </row>
    <row r="3" spans="1:11" ht="9" customHeight="1" x14ac:dyDescent="0.4">
      <c r="A3" s="40"/>
      <c r="B3" s="40"/>
      <c r="C3" s="40"/>
      <c r="D3" s="40"/>
      <c r="E3" s="40"/>
      <c r="F3" s="40"/>
      <c r="G3" s="40"/>
      <c r="H3" s="40"/>
      <c r="I3" s="42"/>
      <c r="J3" s="42"/>
      <c r="K3" s="42"/>
    </row>
    <row r="4" spans="1:11" ht="18" x14ac:dyDescent="0.4">
      <c r="A4" s="40"/>
      <c r="B4" s="40"/>
      <c r="C4" s="75" t="s">
        <v>65</v>
      </c>
      <c r="D4" s="76"/>
      <c r="E4" s="75" t="s">
        <v>66</v>
      </c>
      <c r="F4" s="76"/>
      <c r="G4" s="74" t="s">
        <v>67</v>
      </c>
      <c r="H4" s="40"/>
      <c r="I4" s="42"/>
      <c r="J4" s="42"/>
      <c r="K4" s="42"/>
    </row>
    <row r="5" spans="1:11" s="44" customFormat="1" ht="39.6" customHeight="1" x14ac:dyDescent="0.4">
      <c r="A5" s="43"/>
      <c r="B5" s="43"/>
      <c r="C5" s="178" t="s">
        <v>718</v>
      </c>
      <c r="D5" s="179"/>
      <c r="E5" s="79" t="s">
        <v>751</v>
      </c>
      <c r="F5" s="79"/>
      <c r="G5" s="46" t="s">
        <v>69</v>
      </c>
      <c r="H5" s="43"/>
    </row>
    <row r="6" spans="1:11" s="44" customFormat="1" ht="70.8" customHeight="1" x14ac:dyDescent="0.4">
      <c r="A6" s="43"/>
      <c r="B6" s="43"/>
      <c r="C6" s="178" t="s">
        <v>719</v>
      </c>
      <c r="D6" s="179"/>
      <c r="E6" s="79" t="s">
        <v>752</v>
      </c>
      <c r="F6" s="79"/>
      <c r="G6" s="46" t="s">
        <v>69</v>
      </c>
      <c r="H6" s="43"/>
    </row>
    <row r="7" spans="1:11" s="44" customFormat="1" ht="39.6" customHeight="1" x14ac:dyDescent="0.4">
      <c r="A7" s="43"/>
      <c r="B7" s="43"/>
      <c r="C7" s="175" t="s">
        <v>720</v>
      </c>
      <c r="D7" s="77" t="s">
        <v>721</v>
      </c>
      <c r="E7" s="79" t="s">
        <v>712</v>
      </c>
      <c r="F7" s="79"/>
      <c r="G7" s="46" t="s">
        <v>69</v>
      </c>
      <c r="H7" s="43"/>
    </row>
    <row r="8" spans="1:11" s="44" customFormat="1" ht="70.8" customHeight="1" x14ac:dyDescent="0.4">
      <c r="A8" s="43"/>
      <c r="B8" s="43"/>
      <c r="C8" s="176"/>
      <c r="D8" s="77" t="s">
        <v>722</v>
      </c>
      <c r="E8" s="79" t="s">
        <v>713</v>
      </c>
      <c r="F8" s="79"/>
      <c r="G8" s="46" t="s">
        <v>68</v>
      </c>
      <c r="H8" s="43"/>
    </row>
    <row r="9" spans="1:11" s="44" customFormat="1" ht="58.35" customHeight="1" x14ac:dyDescent="0.4">
      <c r="A9" s="43"/>
      <c r="B9" s="43"/>
      <c r="C9" s="177"/>
      <c r="D9" s="77" t="s">
        <v>714</v>
      </c>
      <c r="E9" s="78" t="s">
        <v>715</v>
      </c>
      <c r="F9" s="79"/>
      <c r="G9" s="46" t="s">
        <v>716</v>
      </c>
      <c r="H9" s="43"/>
    </row>
    <row r="10" spans="1:11" ht="18" x14ac:dyDescent="0.4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</row>
    <row r="11" spans="1:11" ht="18" x14ac:dyDescent="0.4">
      <c r="A11" s="40"/>
      <c r="B11" s="40" t="s">
        <v>70</v>
      </c>
      <c r="C11" s="40"/>
      <c r="D11" s="40"/>
      <c r="E11" s="40"/>
      <c r="F11" s="40"/>
      <c r="G11" s="40"/>
      <c r="H11" s="40"/>
      <c r="I11" s="42"/>
      <c r="J11" s="42"/>
      <c r="K11" s="42"/>
    </row>
    <row r="12" spans="1:11" ht="7.8" customHeight="1" x14ac:dyDescent="0.4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</row>
    <row r="13" spans="1:11" ht="18" x14ac:dyDescent="0.4">
      <c r="A13" s="40"/>
      <c r="B13" s="40"/>
      <c r="C13" s="75" t="s">
        <v>71</v>
      </c>
      <c r="D13" s="76"/>
      <c r="E13" s="74" t="s">
        <v>72</v>
      </c>
      <c r="F13" s="80" t="s">
        <v>73</v>
      </c>
      <c r="G13" s="80"/>
      <c r="H13" s="40"/>
      <c r="I13" s="42"/>
      <c r="J13" s="42"/>
      <c r="K13" s="42"/>
    </row>
    <row r="14" spans="1:11" s="44" customFormat="1" ht="28.35" customHeight="1" x14ac:dyDescent="0.4">
      <c r="A14" s="43"/>
      <c r="B14" s="43"/>
      <c r="C14" s="180"/>
      <c r="D14" s="181"/>
      <c r="E14" s="81"/>
      <c r="F14" s="82"/>
      <c r="G14" s="82"/>
      <c r="H14" s="43"/>
    </row>
    <row r="15" spans="1:11" s="44" customFormat="1" ht="28.35" customHeight="1" x14ac:dyDescent="0.4">
      <c r="A15" s="43"/>
      <c r="B15" s="43"/>
      <c r="C15" s="180"/>
      <c r="D15" s="181"/>
      <c r="E15" s="81"/>
      <c r="F15" s="82"/>
      <c r="G15" s="82"/>
      <c r="H15" s="43"/>
    </row>
    <row r="16" spans="1:11" s="44" customFormat="1" ht="28.35" customHeight="1" x14ac:dyDescent="0.4">
      <c r="A16" s="43"/>
      <c r="B16" s="43"/>
      <c r="C16" s="180"/>
      <c r="D16" s="181"/>
      <c r="E16" s="81"/>
      <c r="F16" s="82"/>
      <c r="G16" s="82"/>
      <c r="H16" s="43"/>
    </row>
    <row r="17" spans="1:11" ht="18" x14ac:dyDescent="0.4">
      <c r="A17" s="40"/>
      <c r="B17" s="40"/>
      <c r="C17" s="40"/>
      <c r="D17" s="40"/>
      <c r="E17" s="40"/>
      <c r="F17" s="40"/>
      <c r="G17" s="40"/>
      <c r="H17" s="40"/>
      <c r="I17" s="42"/>
      <c r="J17" s="42"/>
      <c r="K17" s="42"/>
    </row>
  </sheetData>
  <mergeCells count="18">
    <mergeCell ref="C15:D15"/>
    <mergeCell ref="C16:D16"/>
    <mergeCell ref="F15:G15"/>
    <mergeCell ref="F16:G16"/>
    <mergeCell ref="E7:F7"/>
    <mergeCell ref="E8:F8"/>
    <mergeCell ref="C7:C9"/>
    <mergeCell ref="C4:D4"/>
    <mergeCell ref="C5:D5"/>
    <mergeCell ref="C6:D6"/>
    <mergeCell ref="C13:D13"/>
    <mergeCell ref="C14:D14"/>
    <mergeCell ref="E4:F4"/>
    <mergeCell ref="E5:F5"/>
    <mergeCell ref="E6:F6"/>
    <mergeCell ref="E9:F9"/>
    <mergeCell ref="F13:G13"/>
    <mergeCell ref="F14:G14"/>
  </mergeCells>
  <phoneticPr fontId="1" type="noConversion"/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1730-B71A-45E4-ADEB-36CC215FF154}">
  <dimension ref="A1:H31"/>
  <sheetViews>
    <sheetView tabSelected="1" view="pageBreakPreview" zoomScale="85" zoomScaleNormal="85" zoomScaleSheetLayoutView="85" zoomScalePageLayoutView="70" workbookViewId="0">
      <selection activeCell="D26" sqref="D26"/>
    </sheetView>
  </sheetViews>
  <sheetFormatPr defaultRowHeight="13.8" x14ac:dyDescent="0.4"/>
  <cols>
    <col min="1" max="1" width="2.19921875" style="38" customWidth="1"/>
    <col min="2" max="2" width="18.296875" style="38" customWidth="1"/>
    <col min="3" max="3" width="15.3984375" style="38" customWidth="1"/>
    <col min="4" max="6" width="17.09765625" style="38" customWidth="1"/>
    <col min="7" max="7" width="13.19921875" style="38" customWidth="1"/>
    <col min="8" max="8" width="1.59765625" style="38" customWidth="1"/>
    <col min="9" max="16384" width="8.796875" style="38"/>
  </cols>
  <sheetData>
    <row r="1" spans="1:8" ht="9" customHeight="1" x14ac:dyDescent="0.4">
      <c r="A1" s="37"/>
      <c r="B1" s="37"/>
      <c r="C1" s="37"/>
      <c r="D1" s="37"/>
      <c r="E1" s="37"/>
      <c r="F1" s="37"/>
      <c r="G1" s="37"/>
      <c r="H1" s="37"/>
    </row>
    <row r="2" spans="1:8" x14ac:dyDescent="0.4">
      <c r="A2" s="37"/>
      <c r="B2" s="37"/>
      <c r="C2" s="37"/>
      <c r="D2" s="37"/>
      <c r="E2" s="37"/>
      <c r="F2" s="37"/>
      <c r="G2" s="37"/>
      <c r="H2" s="37"/>
    </row>
    <row r="3" spans="1:8" ht="34.799999999999997" customHeight="1" x14ac:dyDescent="0.4">
      <c r="A3" s="37"/>
      <c r="B3" s="68"/>
      <c r="C3" s="188" t="s">
        <v>711</v>
      </c>
      <c r="D3" s="189"/>
      <c r="E3" s="189"/>
      <c r="F3" s="190"/>
      <c r="G3" s="70" t="s">
        <v>1</v>
      </c>
      <c r="H3" s="37"/>
    </row>
    <row r="4" spans="1:8" x14ac:dyDescent="0.4">
      <c r="A4" s="37"/>
      <c r="B4" s="68"/>
      <c r="C4" s="191" t="s">
        <v>0</v>
      </c>
      <c r="D4" s="192"/>
      <c r="E4" s="192"/>
      <c r="F4" s="193"/>
      <c r="G4" s="71"/>
      <c r="H4" s="37"/>
    </row>
    <row r="5" spans="1:8" x14ac:dyDescent="0.4">
      <c r="A5" s="37"/>
      <c r="B5" s="37"/>
      <c r="C5" s="37"/>
      <c r="D5" s="37"/>
      <c r="E5" s="37"/>
      <c r="F5" s="37"/>
      <c r="G5" s="37"/>
      <c r="H5" s="37"/>
    </row>
    <row r="6" spans="1:8" s="42" customFormat="1" ht="22.2" customHeight="1" x14ac:dyDescent="0.4">
      <c r="A6" s="40"/>
      <c r="B6" s="41" t="s">
        <v>22</v>
      </c>
      <c r="C6" s="40"/>
      <c r="D6" s="40"/>
      <c r="E6" s="40"/>
      <c r="F6" s="40"/>
      <c r="G6" s="40"/>
      <c r="H6" s="40"/>
    </row>
    <row r="7" spans="1:8" s="44" customFormat="1" ht="9.6" customHeight="1" x14ac:dyDescent="0.4">
      <c r="A7" s="43"/>
      <c r="B7" s="43"/>
      <c r="C7" s="43"/>
      <c r="D7" s="43"/>
      <c r="E7" s="43"/>
      <c r="F7" s="43"/>
      <c r="G7" s="43"/>
      <c r="H7" s="43"/>
    </row>
    <row r="8" spans="1:8" ht="15.6" x14ac:dyDescent="0.4">
      <c r="A8" s="37"/>
      <c r="B8" s="39" t="s">
        <v>23</v>
      </c>
      <c r="C8" s="70" t="s">
        <v>24</v>
      </c>
      <c r="D8" s="70"/>
      <c r="E8" s="70"/>
      <c r="F8" s="70"/>
      <c r="G8" s="70"/>
      <c r="H8" s="37"/>
    </row>
    <row r="9" spans="1:8" ht="36" customHeight="1" x14ac:dyDescent="0.4">
      <c r="A9" s="37"/>
      <c r="B9" s="45" t="s">
        <v>723</v>
      </c>
      <c r="C9" s="182" t="s">
        <v>729</v>
      </c>
      <c r="D9" s="182"/>
      <c r="E9" s="182"/>
      <c r="F9" s="182"/>
      <c r="G9" s="182"/>
      <c r="H9" s="37"/>
    </row>
    <row r="10" spans="1:8" ht="36" customHeight="1" x14ac:dyDescent="0.4">
      <c r="A10" s="37"/>
      <c r="B10" s="45" t="s">
        <v>724</v>
      </c>
      <c r="C10" s="182" t="s">
        <v>730</v>
      </c>
      <c r="D10" s="182"/>
      <c r="E10" s="182"/>
      <c r="F10" s="182"/>
      <c r="G10" s="182"/>
      <c r="H10" s="37"/>
    </row>
    <row r="11" spans="1:8" ht="36" customHeight="1" x14ac:dyDescent="0.4">
      <c r="A11" s="37"/>
      <c r="B11" s="45" t="s">
        <v>725</v>
      </c>
      <c r="C11" s="182" t="s">
        <v>731</v>
      </c>
      <c r="D11" s="182"/>
      <c r="E11" s="182"/>
      <c r="F11" s="182"/>
      <c r="G11" s="182"/>
      <c r="H11" s="37"/>
    </row>
    <row r="12" spans="1:8" ht="36" customHeight="1" x14ac:dyDescent="0.4">
      <c r="A12" s="37"/>
      <c r="B12" s="45" t="s">
        <v>726</v>
      </c>
      <c r="C12" s="182" t="s">
        <v>732</v>
      </c>
      <c r="D12" s="182"/>
      <c r="E12" s="182"/>
      <c r="F12" s="182"/>
      <c r="G12" s="182"/>
      <c r="H12" s="37"/>
    </row>
    <row r="13" spans="1:8" ht="36" customHeight="1" x14ac:dyDescent="0.4">
      <c r="A13" s="37"/>
      <c r="B13" s="45" t="s">
        <v>727</v>
      </c>
      <c r="C13" s="182" t="s">
        <v>733</v>
      </c>
      <c r="D13" s="182"/>
      <c r="E13" s="182"/>
      <c r="F13" s="182"/>
      <c r="G13" s="182"/>
      <c r="H13" s="37"/>
    </row>
    <row r="14" spans="1:8" ht="36" customHeight="1" x14ac:dyDescent="0.4">
      <c r="A14" s="37"/>
      <c r="B14" s="45" t="s">
        <v>736</v>
      </c>
      <c r="C14" s="182" t="s">
        <v>734</v>
      </c>
      <c r="D14" s="182"/>
      <c r="E14" s="182"/>
      <c r="F14" s="182"/>
      <c r="G14" s="182"/>
      <c r="H14" s="37"/>
    </row>
    <row r="15" spans="1:8" ht="36" customHeight="1" x14ac:dyDescent="0.4">
      <c r="A15" s="37"/>
      <c r="B15" s="45" t="s">
        <v>728</v>
      </c>
      <c r="C15" s="182" t="s">
        <v>735</v>
      </c>
      <c r="D15" s="182"/>
      <c r="E15" s="182"/>
      <c r="F15" s="182"/>
      <c r="G15" s="182"/>
      <c r="H15" s="37"/>
    </row>
    <row r="16" spans="1:8" x14ac:dyDescent="0.4">
      <c r="A16" s="37"/>
      <c r="B16" s="37"/>
      <c r="C16" s="37"/>
      <c r="D16" s="37"/>
      <c r="E16" s="37"/>
      <c r="F16" s="37"/>
      <c r="G16" s="37"/>
      <c r="H16" s="37"/>
    </row>
    <row r="17" spans="1:8" ht="15.6" x14ac:dyDescent="0.4">
      <c r="A17" s="37"/>
      <c r="B17" s="70" t="s">
        <v>737</v>
      </c>
      <c r="C17" s="70"/>
      <c r="D17" s="70"/>
      <c r="E17" s="70"/>
      <c r="F17" s="70"/>
      <c r="G17" s="70"/>
      <c r="H17" s="172"/>
    </row>
    <row r="18" spans="1:8" ht="31.2" customHeight="1" x14ac:dyDescent="0.4">
      <c r="A18" s="37"/>
      <c r="B18" s="70" t="s">
        <v>738</v>
      </c>
      <c r="C18" s="48" t="s">
        <v>739</v>
      </c>
      <c r="D18" s="194" t="s">
        <v>744</v>
      </c>
      <c r="E18" s="195"/>
      <c r="F18" s="195"/>
      <c r="G18" s="196"/>
      <c r="H18" s="174"/>
    </row>
    <row r="19" spans="1:8" ht="15.6" x14ac:dyDescent="0.4">
      <c r="A19" s="37"/>
      <c r="B19" s="70"/>
      <c r="C19" s="48" t="s">
        <v>740</v>
      </c>
      <c r="D19" s="194" t="s">
        <v>744</v>
      </c>
      <c r="E19" s="195"/>
      <c r="F19" s="195"/>
      <c r="G19" s="196"/>
      <c r="H19" s="172"/>
    </row>
    <row r="20" spans="1:8" ht="31.2" x14ac:dyDescent="0.4">
      <c r="A20" s="37"/>
      <c r="B20" s="70"/>
      <c r="C20" s="48" t="s">
        <v>741</v>
      </c>
      <c r="D20" s="194" t="s">
        <v>744</v>
      </c>
      <c r="E20" s="195"/>
      <c r="F20" s="195"/>
      <c r="G20" s="196"/>
      <c r="H20" s="37"/>
    </row>
    <row r="21" spans="1:8" ht="31.2" customHeight="1" x14ac:dyDescent="0.4">
      <c r="A21" s="37"/>
      <c r="B21" s="186" t="s">
        <v>742</v>
      </c>
      <c r="C21" s="186" t="s">
        <v>743</v>
      </c>
      <c r="D21" s="183" t="s">
        <v>746</v>
      </c>
      <c r="E21" s="184"/>
      <c r="F21" s="185"/>
      <c r="G21" s="186" t="s">
        <v>745</v>
      </c>
      <c r="H21" s="37"/>
    </row>
    <row r="22" spans="1:8" ht="43.2" x14ac:dyDescent="0.4">
      <c r="A22" s="37"/>
      <c r="B22" s="187"/>
      <c r="C22" s="187"/>
      <c r="D22" s="39" t="s">
        <v>748</v>
      </c>
      <c r="E22" s="39" t="s">
        <v>749</v>
      </c>
      <c r="F22" s="39" t="s">
        <v>750</v>
      </c>
      <c r="G22" s="187"/>
      <c r="H22" s="37"/>
    </row>
    <row r="23" spans="1:8" ht="15.6" x14ac:dyDescent="0.4">
      <c r="A23" s="37"/>
      <c r="B23" s="48"/>
      <c r="C23" s="48"/>
      <c r="D23" s="48"/>
      <c r="E23" s="48"/>
      <c r="F23" s="48"/>
      <c r="G23" s="48"/>
      <c r="H23" s="37"/>
    </row>
    <row r="24" spans="1:8" ht="15.6" x14ac:dyDescent="0.4">
      <c r="A24" s="172"/>
      <c r="B24" s="48"/>
      <c r="C24" s="48"/>
      <c r="D24" s="48"/>
      <c r="E24" s="48"/>
      <c r="F24" s="48"/>
      <c r="G24" s="48"/>
      <c r="H24" s="37"/>
    </row>
    <row r="25" spans="1:8" ht="15.6" x14ac:dyDescent="0.4">
      <c r="A25" s="172"/>
      <c r="B25" s="48"/>
      <c r="C25" s="48"/>
      <c r="D25" s="48"/>
      <c r="E25" s="48"/>
      <c r="F25" s="48"/>
      <c r="G25" s="48"/>
      <c r="H25" s="37"/>
    </row>
    <row r="26" spans="1:8" ht="15.6" x14ac:dyDescent="0.4">
      <c r="A26" s="172"/>
      <c r="B26" s="48"/>
      <c r="C26" s="48"/>
      <c r="D26" s="48"/>
      <c r="E26" s="48"/>
      <c r="F26" s="48"/>
      <c r="G26" s="48"/>
      <c r="H26" s="37"/>
    </row>
    <row r="27" spans="1:8" ht="7.2" customHeight="1" x14ac:dyDescent="0.4">
      <c r="A27" s="172"/>
      <c r="B27" s="173"/>
      <c r="C27" s="173"/>
      <c r="D27" s="173"/>
      <c r="E27" s="173"/>
      <c r="F27" s="173"/>
      <c r="G27" s="173"/>
      <c r="H27" s="37"/>
    </row>
    <row r="28" spans="1:8" x14ac:dyDescent="0.4">
      <c r="A28" s="37"/>
      <c r="B28" s="47" t="s">
        <v>747</v>
      </c>
      <c r="C28" s="37"/>
      <c r="D28" s="37"/>
      <c r="E28" s="37"/>
      <c r="F28" s="37"/>
      <c r="G28" s="37"/>
      <c r="H28" s="37"/>
    </row>
    <row r="29" spans="1:8" ht="7.2" customHeight="1" x14ac:dyDescent="0.4">
      <c r="A29" s="172"/>
      <c r="B29" s="173"/>
      <c r="C29" s="173"/>
      <c r="D29" s="173"/>
      <c r="E29" s="173"/>
      <c r="F29" s="173"/>
      <c r="G29" s="173"/>
      <c r="H29" s="37"/>
    </row>
    <row r="30" spans="1:8" x14ac:dyDescent="0.4">
      <c r="A30" s="37"/>
      <c r="B30" s="47" t="s">
        <v>29</v>
      </c>
      <c r="C30" s="37"/>
      <c r="D30" s="37"/>
      <c r="E30" s="37"/>
      <c r="F30" s="37"/>
      <c r="G30" s="37"/>
      <c r="H30" s="37"/>
    </row>
    <row r="31" spans="1:8" x14ac:dyDescent="0.4">
      <c r="A31" s="37"/>
      <c r="B31" s="37"/>
      <c r="C31" s="37"/>
      <c r="D31" s="37"/>
      <c r="E31" s="37"/>
      <c r="F31" s="37"/>
      <c r="G31" s="37"/>
      <c r="H31" s="37"/>
    </row>
  </sheetData>
  <mergeCells count="21">
    <mergeCell ref="D19:G19"/>
    <mergeCell ref="D20:G20"/>
    <mergeCell ref="G21:G22"/>
    <mergeCell ref="C21:C22"/>
    <mergeCell ref="B21:B22"/>
    <mergeCell ref="B17:G17"/>
    <mergeCell ref="B18:B20"/>
    <mergeCell ref="C3:F3"/>
    <mergeCell ref="C4:F4"/>
    <mergeCell ref="D21:F21"/>
    <mergeCell ref="D18:G18"/>
    <mergeCell ref="C15:G15"/>
    <mergeCell ref="C13:G13"/>
    <mergeCell ref="C14:G14"/>
    <mergeCell ref="C9:G9"/>
    <mergeCell ref="C10:G10"/>
    <mergeCell ref="C11:G11"/>
    <mergeCell ref="C12:G12"/>
    <mergeCell ref="B3:B4"/>
    <mergeCell ref="G3:G4"/>
    <mergeCell ref="C8:G8"/>
  </mergeCells>
  <phoneticPr fontId="1" type="noConversion"/>
  <dataValidations count="3">
    <dataValidation type="list" allowBlank="1" showInputMessage="1" showErrorMessage="1" sqref="D23:D26" xr:uid="{19B65B07-DDF0-4A43-83DB-B0B3E7CFE025}">
      <formula1>"보통/경미,중간,높음,매우높음"</formula1>
    </dataValidation>
    <dataValidation type="list" allowBlank="1" showInputMessage="1" showErrorMessage="1" sqref="E23:E26" xr:uid="{4319DB84-1875-41B0-938C-59F3503DDCBE}">
      <formula1>"단기,중기,장기,세대 간"</formula1>
    </dataValidation>
    <dataValidation type="list" allowBlank="1" showInputMessage="1" showErrorMessage="1" sqref="F23:F26" xr:uid="{F902A3C6-CB46-41C5-A5FE-655D71191ADF}">
      <formula1>"낮음,중간,높음,매우높음"</formula1>
    </dataValidation>
  </dataValidations>
  <pageMargins left="0.7" right="0.7" top="0.75" bottom="0.75" header="0.3" footer="0.3"/>
  <pageSetup paperSize="9"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B95F-14F8-4369-AA2E-352CDE8781DC}">
  <dimension ref="A1:F37"/>
  <sheetViews>
    <sheetView view="pageBreakPreview" zoomScaleNormal="85" zoomScaleSheetLayoutView="100" zoomScalePageLayoutView="70" workbookViewId="0">
      <selection activeCell="C10" sqref="C10:E10"/>
    </sheetView>
  </sheetViews>
  <sheetFormatPr defaultRowHeight="13.8" x14ac:dyDescent="0.4"/>
  <cols>
    <col min="1" max="1" width="2.19921875" style="38" customWidth="1"/>
    <col min="2" max="2" width="18.296875" style="38" customWidth="1"/>
    <col min="3" max="3" width="53.796875" style="38" customWidth="1"/>
    <col min="4" max="4" width="9.09765625" style="38" customWidth="1"/>
    <col min="5" max="5" width="14.8984375" style="38" customWidth="1"/>
    <col min="6" max="6" width="1.59765625" style="38" customWidth="1"/>
    <col min="7" max="16384" width="8.796875" style="38"/>
  </cols>
  <sheetData>
    <row r="1" spans="1:6" ht="9" customHeight="1" x14ac:dyDescent="0.4">
      <c r="A1" s="37"/>
      <c r="B1" s="37"/>
      <c r="C1" s="37"/>
      <c r="D1" s="37"/>
      <c r="E1" s="37"/>
      <c r="F1" s="37"/>
    </row>
    <row r="2" spans="1:6" x14ac:dyDescent="0.4">
      <c r="A2" s="37"/>
      <c r="B2" s="37"/>
      <c r="C2" s="37"/>
      <c r="D2" s="37"/>
      <c r="E2" s="37"/>
      <c r="F2" s="37"/>
    </row>
    <row r="3" spans="1:6" ht="34.799999999999997" customHeight="1" x14ac:dyDescent="0.4">
      <c r="A3" s="37"/>
      <c r="B3" s="68"/>
      <c r="C3" s="69" t="s">
        <v>31</v>
      </c>
      <c r="D3" s="69"/>
      <c r="E3" s="70" t="s">
        <v>1</v>
      </c>
      <c r="F3" s="37"/>
    </row>
    <row r="4" spans="1:6" x14ac:dyDescent="0.4">
      <c r="A4" s="37"/>
      <c r="B4" s="68"/>
      <c r="C4" s="68" t="s">
        <v>0</v>
      </c>
      <c r="D4" s="68"/>
      <c r="E4" s="71"/>
      <c r="F4" s="37"/>
    </row>
    <row r="5" spans="1:6" x14ac:dyDescent="0.4">
      <c r="A5" s="37"/>
      <c r="B5" s="37"/>
      <c r="C5" s="37"/>
      <c r="D5" s="37"/>
      <c r="E5" s="37"/>
      <c r="F5" s="37"/>
    </row>
    <row r="6" spans="1:6" s="42" customFormat="1" ht="22.2" customHeight="1" x14ac:dyDescent="0.4">
      <c r="A6" s="40"/>
      <c r="B6" s="41" t="s">
        <v>22</v>
      </c>
      <c r="C6" s="40"/>
      <c r="D6" s="40"/>
      <c r="E6" s="40"/>
      <c r="F6" s="40"/>
    </row>
    <row r="7" spans="1:6" s="44" customFormat="1" ht="9.6" customHeight="1" x14ac:dyDescent="0.4">
      <c r="A7" s="43"/>
      <c r="B7" s="43"/>
      <c r="C7" s="43"/>
      <c r="D7" s="43"/>
      <c r="E7" s="43"/>
      <c r="F7" s="43"/>
    </row>
    <row r="8" spans="1:6" ht="15.6" x14ac:dyDescent="0.4">
      <c r="A8" s="37"/>
      <c r="B8" s="39" t="s">
        <v>23</v>
      </c>
      <c r="C8" s="70" t="s">
        <v>24</v>
      </c>
      <c r="D8" s="70"/>
      <c r="E8" s="70"/>
      <c r="F8" s="37"/>
    </row>
    <row r="9" spans="1:6" ht="15.6" x14ac:dyDescent="0.4">
      <c r="A9" s="37"/>
      <c r="B9" s="45" t="s">
        <v>25</v>
      </c>
      <c r="C9" s="67" t="s">
        <v>30</v>
      </c>
      <c r="D9" s="67"/>
      <c r="E9" s="67"/>
      <c r="F9" s="37"/>
    </row>
    <row r="10" spans="1:6" ht="71.400000000000006" customHeight="1" x14ac:dyDescent="0.4">
      <c r="A10" s="37"/>
      <c r="B10" s="45" t="s">
        <v>26</v>
      </c>
      <c r="C10" s="67" t="s">
        <v>33</v>
      </c>
      <c r="D10" s="67"/>
      <c r="E10" s="67"/>
      <c r="F10" s="37"/>
    </row>
    <row r="11" spans="1:6" x14ac:dyDescent="0.4">
      <c r="A11" s="37"/>
      <c r="B11" s="37"/>
      <c r="C11" s="37"/>
      <c r="D11" s="37"/>
      <c r="E11" s="37"/>
      <c r="F11" s="37"/>
    </row>
    <row r="12" spans="1:6" s="42" customFormat="1" ht="22.2" customHeight="1" x14ac:dyDescent="0.4">
      <c r="A12" s="40"/>
      <c r="B12" s="41" t="s">
        <v>32</v>
      </c>
      <c r="C12" s="40"/>
      <c r="D12" s="40"/>
      <c r="E12" s="40"/>
      <c r="F12" s="40"/>
    </row>
    <row r="13" spans="1:6" s="44" customFormat="1" ht="9.6" customHeight="1" x14ac:dyDescent="0.4">
      <c r="A13" s="43"/>
      <c r="B13" s="43"/>
      <c r="C13" s="43"/>
      <c r="D13" s="43"/>
      <c r="E13" s="43"/>
      <c r="F13" s="43"/>
    </row>
    <row r="14" spans="1:6" ht="15.6" x14ac:dyDescent="0.4">
      <c r="A14" s="37"/>
      <c r="B14" s="39" t="s">
        <v>23</v>
      </c>
      <c r="C14" s="39" t="s">
        <v>27</v>
      </c>
      <c r="D14" s="48" t="s">
        <v>28</v>
      </c>
      <c r="E14" s="39" t="s">
        <v>59</v>
      </c>
      <c r="F14" s="37"/>
    </row>
    <row r="15" spans="1:6" ht="31.2" x14ac:dyDescent="0.4">
      <c r="A15" s="37"/>
      <c r="B15" s="45" t="s">
        <v>34</v>
      </c>
      <c r="C15" s="46" t="s">
        <v>38</v>
      </c>
      <c r="D15" s="49"/>
      <c r="E15" s="50" t="s">
        <v>60</v>
      </c>
      <c r="F15" s="37"/>
    </row>
    <row r="16" spans="1:6" ht="31.2" x14ac:dyDescent="0.4">
      <c r="A16" s="37"/>
      <c r="B16" s="45" t="s">
        <v>34</v>
      </c>
      <c r="C16" s="46" t="s">
        <v>40</v>
      </c>
      <c r="D16" s="49"/>
      <c r="E16" s="50" t="s">
        <v>60</v>
      </c>
      <c r="F16" s="37"/>
    </row>
    <row r="17" spans="1:6" ht="51.6" customHeight="1" x14ac:dyDescent="0.4">
      <c r="A17" s="37"/>
      <c r="B17" s="45" t="s">
        <v>34</v>
      </c>
      <c r="C17" s="46" t="s">
        <v>39</v>
      </c>
      <c r="D17" s="49"/>
      <c r="E17" s="50" t="s">
        <v>60</v>
      </c>
      <c r="F17" s="37"/>
    </row>
    <row r="18" spans="1:6" ht="56.4" customHeight="1" x14ac:dyDescent="0.4">
      <c r="A18" s="37"/>
      <c r="B18" s="45" t="s">
        <v>44</v>
      </c>
      <c r="C18" s="46" t="s">
        <v>41</v>
      </c>
      <c r="D18" s="49"/>
      <c r="E18" s="50" t="s">
        <v>60</v>
      </c>
      <c r="F18" s="37"/>
    </row>
    <row r="19" spans="1:6" ht="46.8" x14ac:dyDescent="0.4">
      <c r="A19" s="37"/>
      <c r="B19" s="45" t="s">
        <v>44</v>
      </c>
      <c r="C19" s="46" t="s">
        <v>42</v>
      </c>
      <c r="D19" s="49"/>
      <c r="E19" s="50" t="s">
        <v>60</v>
      </c>
      <c r="F19" s="37"/>
    </row>
    <row r="20" spans="1:6" ht="46.8" x14ac:dyDescent="0.4">
      <c r="A20" s="37"/>
      <c r="B20" s="45" t="s">
        <v>44</v>
      </c>
      <c r="C20" s="46" t="s">
        <v>43</v>
      </c>
      <c r="D20" s="49"/>
      <c r="E20" s="50" t="s">
        <v>60</v>
      </c>
      <c r="F20" s="37"/>
    </row>
    <row r="21" spans="1:6" ht="46.8" x14ac:dyDescent="0.4">
      <c r="A21" s="37"/>
      <c r="B21" s="45" t="s">
        <v>44</v>
      </c>
      <c r="C21" s="46" t="s">
        <v>45</v>
      </c>
      <c r="D21" s="49"/>
      <c r="E21" s="50" t="s">
        <v>60</v>
      </c>
      <c r="F21" s="37"/>
    </row>
    <row r="22" spans="1:6" ht="46.8" x14ac:dyDescent="0.4">
      <c r="A22" s="37"/>
      <c r="B22" s="45" t="s">
        <v>44</v>
      </c>
      <c r="C22" s="46" t="s">
        <v>46</v>
      </c>
      <c r="D22" s="49"/>
      <c r="E22" s="50" t="s">
        <v>60</v>
      </c>
      <c r="F22" s="37"/>
    </row>
    <row r="23" spans="1:6" ht="31.2" x14ac:dyDescent="0.4">
      <c r="A23" s="37"/>
      <c r="B23" s="45" t="s">
        <v>36</v>
      </c>
      <c r="C23" s="46" t="s">
        <v>47</v>
      </c>
      <c r="D23" s="49"/>
      <c r="E23" s="50" t="s">
        <v>60</v>
      </c>
      <c r="F23" s="37"/>
    </row>
    <row r="24" spans="1:6" ht="62.4" customHeight="1" x14ac:dyDescent="0.4">
      <c r="A24" s="37"/>
      <c r="B24" s="45" t="s">
        <v>36</v>
      </c>
      <c r="C24" s="46" t="s">
        <v>48</v>
      </c>
      <c r="D24" s="49"/>
      <c r="E24" s="50" t="s">
        <v>60</v>
      </c>
      <c r="F24" s="37"/>
    </row>
    <row r="25" spans="1:6" ht="61.8" customHeight="1" x14ac:dyDescent="0.4">
      <c r="A25" s="37"/>
      <c r="B25" s="45" t="s">
        <v>36</v>
      </c>
      <c r="C25" s="46" t="s">
        <v>49</v>
      </c>
      <c r="D25" s="49"/>
      <c r="E25" s="50" t="s">
        <v>60</v>
      </c>
      <c r="F25" s="37"/>
    </row>
    <row r="26" spans="1:6" ht="31.2" x14ac:dyDescent="0.4">
      <c r="A26" s="37"/>
      <c r="B26" s="45" t="s">
        <v>36</v>
      </c>
      <c r="C26" s="46" t="s">
        <v>50</v>
      </c>
      <c r="D26" s="49"/>
      <c r="E26" s="50" t="s">
        <v>60</v>
      </c>
      <c r="F26" s="37"/>
    </row>
    <row r="27" spans="1:6" ht="31.2" x14ac:dyDescent="0.4">
      <c r="A27" s="37"/>
      <c r="B27" s="45" t="s">
        <v>36</v>
      </c>
      <c r="C27" s="46" t="s">
        <v>51</v>
      </c>
      <c r="D27" s="49"/>
      <c r="E27" s="50" t="s">
        <v>60</v>
      </c>
      <c r="F27" s="37"/>
    </row>
    <row r="28" spans="1:6" ht="31.2" x14ac:dyDescent="0.4">
      <c r="A28" s="37"/>
      <c r="B28" s="45" t="s">
        <v>36</v>
      </c>
      <c r="C28" s="46" t="s">
        <v>52</v>
      </c>
      <c r="D28" s="49"/>
      <c r="E28" s="50" t="s">
        <v>60</v>
      </c>
      <c r="F28" s="37"/>
    </row>
    <row r="29" spans="1:6" ht="31.2" x14ac:dyDescent="0.4">
      <c r="A29" s="37"/>
      <c r="B29" s="45" t="s">
        <v>35</v>
      </c>
      <c r="C29" s="46" t="s">
        <v>53</v>
      </c>
      <c r="D29" s="49"/>
      <c r="E29" s="50" t="s">
        <v>60</v>
      </c>
      <c r="F29" s="37"/>
    </row>
    <row r="30" spans="1:6" ht="46.8" x14ac:dyDescent="0.4">
      <c r="A30" s="37"/>
      <c r="B30" s="45" t="s">
        <v>35</v>
      </c>
      <c r="C30" s="46" t="s">
        <v>54</v>
      </c>
      <c r="D30" s="49"/>
      <c r="E30" s="50" t="s">
        <v>60</v>
      </c>
      <c r="F30" s="37"/>
    </row>
    <row r="31" spans="1:6" ht="31.2" x14ac:dyDescent="0.4">
      <c r="A31" s="37"/>
      <c r="B31" s="45" t="s">
        <v>35</v>
      </c>
      <c r="C31" s="46" t="s">
        <v>55</v>
      </c>
      <c r="D31" s="49"/>
      <c r="E31" s="50" t="s">
        <v>60</v>
      </c>
      <c r="F31" s="37"/>
    </row>
    <row r="32" spans="1:6" ht="46.8" x14ac:dyDescent="0.4">
      <c r="A32" s="37"/>
      <c r="B32" s="45" t="s">
        <v>35</v>
      </c>
      <c r="C32" s="46" t="s">
        <v>56</v>
      </c>
      <c r="D32" s="49"/>
      <c r="E32" s="50" t="s">
        <v>60</v>
      </c>
      <c r="F32" s="37"/>
    </row>
    <row r="33" spans="1:6" ht="31.2" x14ac:dyDescent="0.4">
      <c r="A33" s="37"/>
      <c r="B33" s="45" t="s">
        <v>37</v>
      </c>
      <c r="C33" s="46" t="s">
        <v>57</v>
      </c>
      <c r="D33" s="49"/>
      <c r="E33" s="50" t="s">
        <v>60</v>
      </c>
      <c r="F33" s="37"/>
    </row>
    <row r="34" spans="1:6" ht="31.2" x14ac:dyDescent="0.4">
      <c r="A34" s="37"/>
      <c r="B34" s="45" t="s">
        <v>37</v>
      </c>
      <c r="C34" s="46" t="s">
        <v>58</v>
      </c>
      <c r="D34" s="49"/>
      <c r="E34" s="50" t="s">
        <v>60</v>
      </c>
      <c r="F34" s="37"/>
    </row>
    <row r="35" spans="1:6" x14ac:dyDescent="0.4">
      <c r="A35" s="37"/>
      <c r="B35" s="37"/>
      <c r="C35" s="37"/>
      <c r="D35" s="37"/>
      <c r="E35" s="37"/>
      <c r="F35" s="37"/>
    </row>
    <row r="36" spans="1:6" x14ac:dyDescent="0.4">
      <c r="A36" s="37"/>
      <c r="B36" s="47" t="s">
        <v>29</v>
      </c>
      <c r="C36" s="37"/>
      <c r="D36" s="37"/>
      <c r="E36" s="37"/>
      <c r="F36" s="37"/>
    </row>
    <row r="37" spans="1:6" x14ac:dyDescent="0.4">
      <c r="A37" s="37"/>
      <c r="B37" s="37"/>
      <c r="C37" s="37"/>
      <c r="D37" s="37"/>
      <c r="E37" s="37"/>
      <c r="F37" s="37"/>
    </row>
  </sheetData>
  <autoFilter ref="B14:E34" xr:uid="{FE94B95F-14F8-4369-AA2E-352CDE8781DC}"/>
  <mergeCells count="7">
    <mergeCell ref="C9:E9"/>
    <mergeCell ref="C10:E10"/>
    <mergeCell ref="B3:B4"/>
    <mergeCell ref="C3:D3"/>
    <mergeCell ref="E3:E4"/>
    <mergeCell ref="C4:D4"/>
    <mergeCell ref="C8:E8"/>
  </mergeCells>
  <phoneticPr fontId="1" type="noConversion"/>
  <dataValidations count="1">
    <dataValidation type="list" allowBlank="1" showInputMessage="1" showErrorMessage="1" sqref="D15:D34" xr:uid="{0B25A7C0-0FC9-4103-9530-6B1B482A775F}">
      <formula1>"Yes,No,N/A"</formula1>
    </dataValidation>
  </dataValidations>
  <pageMargins left="0.7" right="0.7" top="0.75" bottom="0.75" header="0.3" footer="0.3"/>
  <pageSetup paperSize="9"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8697-2F46-41D3-8DA2-EC71AC6EC4B5}">
  <dimension ref="A1:N43"/>
  <sheetViews>
    <sheetView view="pageBreakPreview" zoomScale="55" zoomScaleNormal="70" zoomScaleSheetLayoutView="55" workbookViewId="0">
      <selection activeCell="G26" sqref="G26"/>
    </sheetView>
  </sheetViews>
  <sheetFormatPr defaultRowHeight="13.8" x14ac:dyDescent="0.4"/>
  <cols>
    <col min="1" max="1" width="3.3984375" style="38" customWidth="1"/>
    <col min="2" max="2" width="28.09765625" style="38" customWidth="1"/>
    <col min="3" max="3" width="45.296875" style="38" customWidth="1"/>
    <col min="4" max="4" width="19.8984375" style="38" customWidth="1"/>
    <col min="5" max="5" width="5.09765625" style="38" customWidth="1"/>
    <col min="6" max="6" width="6" style="38" customWidth="1"/>
    <col min="7" max="7" width="29.09765625" style="38" customWidth="1"/>
    <col min="8" max="8" width="47" style="38" customWidth="1"/>
    <col min="9" max="9" width="46.59765625" style="38" customWidth="1"/>
    <col min="10" max="13" width="19.796875" style="38" customWidth="1"/>
    <col min="14" max="14" width="3.3984375" style="38" customWidth="1"/>
    <col min="15" max="16384" width="8.796875" style="38"/>
  </cols>
  <sheetData>
    <row r="1" spans="1:14" x14ac:dyDescent="0.4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s="42" customFormat="1" ht="18" x14ac:dyDescent="0.4">
      <c r="A2" s="40"/>
      <c r="B2" s="41" t="s">
        <v>74</v>
      </c>
      <c r="C2" s="40"/>
      <c r="D2" s="40"/>
      <c r="E2" s="40"/>
      <c r="F2" s="41" t="s">
        <v>75</v>
      </c>
      <c r="G2" s="41"/>
      <c r="H2" s="40"/>
      <c r="I2" s="40"/>
      <c r="J2" s="40"/>
      <c r="K2" s="40"/>
      <c r="L2" s="40"/>
      <c r="M2" s="40"/>
      <c r="N2" s="40"/>
    </row>
    <row r="3" spans="1:14" s="42" customFormat="1" ht="18" x14ac:dyDescent="0.4">
      <c r="A3" s="40"/>
      <c r="B3" s="83" t="s">
        <v>76</v>
      </c>
      <c r="C3" s="51">
        <v>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x14ac:dyDescent="0.4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51.6" customHeight="1" x14ac:dyDescent="0.4">
      <c r="A5" s="37"/>
      <c r="B5" s="37"/>
      <c r="C5" s="37"/>
      <c r="D5" s="37"/>
      <c r="E5" s="37"/>
      <c r="F5" s="84"/>
      <c r="G5" s="84"/>
      <c r="H5" s="84"/>
      <c r="I5" s="84"/>
      <c r="J5" s="39" t="s">
        <v>77</v>
      </c>
      <c r="K5" s="70" t="s">
        <v>78</v>
      </c>
      <c r="L5" s="70"/>
      <c r="M5" s="39" t="s">
        <v>79</v>
      </c>
      <c r="N5" s="37"/>
    </row>
    <row r="6" spans="1:14" ht="15.6" x14ac:dyDescent="0.4">
      <c r="A6" s="37"/>
      <c r="B6" s="83" t="s">
        <v>80</v>
      </c>
      <c r="C6" s="83" t="s">
        <v>81</v>
      </c>
      <c r="D6" s="83" t="s">
        <v>82</v>
      </c>
      <c r="E6" s="37"/>
      <c r="F6" s="83" t="s">
        <v>83</v>
      </c>
      <c r="G6" s="83" t="s">
        <v>80</v>
      </c>
      <c r="H6" s="83" t="s">
        <v>81</v>
      </c>
      <c r="I6" s="85" t="s">
        <v>84</v>
      </c>
      <c r="J6" s="52" t="s">
        <v>85</v>
      </c>
      <c r="K6" s="39" t="s">
        <v>86</v>
      </c>
      <c r="L6" s="39" t="s">
        <v>87</v>
      </c>
      <c r="M6" s="39" t="s">
        <v>88</v>
      </c>
      <c r="N6" s="37"/>
    </row>
    <row r="7" spans="1:14" ht="30" customHeight="1" x14ac:dyDescent="0.4">
      <c r="A7" s="37"/>
      <c r="B7" s="51" t="s">
        <v>89</v>
      </c>
      <c r="C7" s="51" t="s">
        <v>90</v>
      </c>
      <c r="D7" s="86">
        <f>COUNTIFS('3-2. AI위험(안전성) 식별 및 평가'!$D$7:$D$42,C7,'3-2. AI위험(안전성) 식별 및 평가'!$F$7:$F$42,"yes")</f>
        <v>0</v>
      </c>
      <c r="E7" s="37"/>
      <c r="F7" s="87" t="s">
        <v>91</v>
      </c>
      <c r="G7" s="51" t="s">
        <v>89</v>
      </c>
      <c r="H7" s="51" t="s">
        <v>90</v>
      </c>
      <c r="I7" s="51" t="s">
        <v>92</v>
      </c>
      <c r="J7" s="88">
        <f>_xlfn.XLOOKUP(I7,'3-2. AI위험(안전성) 식별 및 평가'!$E$7:$E$42,'3-2. AI위험(안전성) 식별 및 평가'!$F$7:$F$42,"")</f>
        <v>0</v>
      </c>
      <c r="K7" s="88" t="str">
        <f>_xlfn.XLOOKUP(I7,'3-2. AI위험(안전성) 식별 및 평가'!$E$7:$E$42,'3-2. AI위험(안전성) 식별 및 평가'!$W$7:$W$42,"")</f>
        <v/>
      </c>
      <c r="L7" s="88" t="str">
        <f>_xlfn.XLOOKUP(I7,'3-2. AI위험(안전성) 식별 및 평가'!$E$7:$E$42,'3-2. AI위험(안전성) 식별 및 평가'!$X$7:$X$42,"")</f>
        <v/>
      </c>
      <c r="M7" s="88">
        <f>_xlfn.XLOOKUP(I7,'3-2. AI위험(안전성) 식별 및 평가'!$E$7:$E$42,'3-2. AI위험(안전성) 식별 및 평가'!$AF$7:$AF$42,"")</f>
        <v>0</v>
      </c>
      <c r="N7" s="37"/>
    </row>
    <row r="8" spans="1:14" ht="30" customHeight="1" x14ac:dyDescent="0.4">
      <c r="A8" s="37"/>
      <c r="B8" s="51" t="s">
        <v>89</v>
      </c>
      <c r="C8" s="51" t="s">
        <v>93</v>
      </c>
      <c r="D8" s="86">
        <f>COUNTIFS('3-2. AI위험(안전성) 식별 및 평가'!$D$7:$D$42,C8,'3-2. AI위험(안전성) 식별 및 평가'!$F$7:$F$42,"yes")</f>
        <v>0</v>
      </c>
      <c r="E8" s="37"/>
      <c r="F8" s="87" t="s">
        <v>94</v>
      </c>
      <c r="G8" s="51" t="s">
        <v>89</v>
      </c>
      <c r="H8" s="51" t="s">
        <v>90</v>
      </c>
      <c r="I8" s="51" t="s">
        <v>95</v>
      </c>
      <c r="J8" s="88">
        <f>_xlfn.XLOOKUP(I8,'3-2. AI위험(안전성) 식별 및 평가'!$E$7:$E$42,'3-2. AI위험(안전성) 식별 및 평가'!$F$7:$F$42,"")</f>
        <v>0</v>
      </c>
      <c r="K8" s="88" t="str">
        <f>_xlfn.XLOOKUP(I8,'3-2. AI위험(안전성) 식별 및 평가'!$E$7:$E$42,'3-2. AI위험(안전성) 식별 및 평가'!$W$7:$W$42,"")</f>
        <v/>
      </c>
      <c r="L8" s="88" t="str">
        <f>_xlfn.XLOOKUP(I8,'3-2. AI위험(안전성) 식별 및 평가'!$E$7:$E$42,'3-2. AI위험(안전성) 식별 및 평가'!$X$7:$X$42,"")</f>
        <v/>
      </c>
      <c r="M8" s="88">
        <f>_xlfn.XLOOKUP(I8,'3-2. AI위험(안전성) 식별 및 평가'!$E$7:$E$42,'3-2. AI위험(안전성) 식별 및 평가'!$AF$7:$AF$42,"")</f>
        <v>0</v>
      </c>
      <c r="N8" s="37"/>
    </row>
    <row r="9" spans="1:14" ht="30" customHeight="1" x14ac:dyDescent="0.4">
      <c r="A9" s="37"/>
      <c r="B9" s="51" t="s">
        <v>89</v>
      </c>
      <c r="C9" s="51" t="s">
        <v>96</v>
      </c>
      <c r="D9" s="86">
        <f>COUNTIFS('3-2. AI위험(안전성) 식별 및 평가'!$D$7:$D$42,C9,'3-2. AI위험(안전성) 식별 및 평가'!$F$7:$F$42,"yes")</f>
        <v>0</v>
      </c>
      <c r="E9" s="37"/>
      <c r="F9" s="87" t="s">
        <v>97</v>
      </c>
      <c r="G9" s="51" t="s">
        <v>89</v>
      </c>
      <c r="H9" s="51" t="s">
        <v>90</v>
      </c>
      <c r="I9" s="51" t="s">
        <v>98</v>
      </c>
      <c r="J9" s="88">
        <f>_xlfn.XLOOKUP(I9,'3-2. AI위험(안전성) 식별 및 평가'!$E$7:$E$42,'3-2. AI위험(안전성) 식별 및 평가'!$F$7:$F$42,"")</f>
        <v>0</v>
      </c>
      <c r="K9" s="88" t="str">
        <f>_xlfn.XLOOKUP(I9,'3-2. AI위험(안전성) 식별 및 평가'!$E$7:$E$42,'3-2. AI위험(안전성) 식별 및 평가'!$W$7:$W$42,"")</f>
        <v/>
      </c>
      <c r="L9" s="88" t="str">
        <f>_xlfn.XLOOKUP(I9,'3-2. AI위험(안전성) 식별 및 평가'!$E$7:$E$42,'3-2. AI위험(안전성) 식별 및 평가'!$X$7:$X$42,"")</f>
        <v/>
      </c>
      <c r="M9" s="88">
        <f>_xlfn.XLOOKUP(I9,'3-2. AI위험(안전성) 식별 및 평가'!$E$7:$E$42,'3-2. AI위험(안전성) 식별 및 평가'!$AF$7:$AF$42,"")</f>
        <v>0</v>
      </c>
      <c r="N9" s="37"/>
    </row>
    <row r="10" spans="1:14" ht="30" customHeight="1" x14ac:dyDescent="0.4">
      <c r="A10" s="37"/>
      <c r="B10" s="89" t="s">
        <v>99</v>
      </c>
      <c r="C10" s="89"/>
      <c r="D10" s="90">
        <f>SUM(D7:D9)</f>
        <v>0</v>
      </c>
      <c r="E10" s="37"/>
      <c r="F10" s="87" t="s">
        <v>100</v>
      </c>
      <c r="G10" s="51" t="s">
        <v>89</v>
      </c>
      <c r="H10" s="51" t="s">
        <v>101</v>
      </c>
      <c r="I10" s="51" t="s">
        <v>102</v>
      </c>
      <c r="J10" s="88">
        <f>_xlfn.XLOOKUP(I10,'3-2. AI위험(안전성) 식별 및 평가'!$E$7:$E$42,'3-2. AI위험(안전성) 식별 및 평가'!$F$7:$F$42,"")</f>
        <v>0</v>
      </c>
      <c r="K10" s="88" t="str">
        <f>_xlfn.XLOOKUP(I10,'3-2. AI위험(안전성) 식별 및 평가'!$E$7:$E$42,'3-2. AI위험(안전성) 식별 및 평가'!$W$7:$W$42,"")</f>
        <v/>
      </c>
      <c r="L10" s="88" t="str">
        <f>_xlfn.XLOOKUP(I10,'3-2. AI위험(안전성) 식별 및 평가'!$E$7:$E$42,'3-2. AI위험(안전성) 식별 및 평가'!$X$7:$X$42,"")</f>
        <v/>
      </c>
      <c r="M10" s="88">
        <f>_xlfn.XLOOKUP(I10,'3-2. AI위험(안전성) 식별 및 평가'!$E$7:$E$42,'3-2. AI위험(안전성) 식별 및 평가'!$AF$7:$AF$42,"")</f>
        <v>0</v>
      </c>
      <c r="N10" s="37"/>
    </row>
    <row r="11" spans="1:14" ht="30" customHeight="1" x14ac:dyDescent="0.4">
      <c r="A11" s="37"/>
      <c r="B11" s="51" t="s">
        <v>103</v>
      </c>
      <c r="C11" s="51" t="s">
        <v>104</v>
      </c>
      <c r="D11" s="86">
        <f>COUNTIFS('3-2. AI위험(안전성) 식별 및 평가'!$D$7:$D$42,C11,'3-2. AI위험(안전성) 식별 및 평가'!$F$7:$F$42,"yes")</f>
        <v>0</v>
      </c>
      <c r="E11" s="37"/>
      <c r="F11" s="87" t="s">
        <v>105</v>
      </c>
      <c r="G11" s="51" t="s">
        <v>89</v>
      </c>
      <c r="H11" s="51" t="s">
        <v>101</v>
      </c>
      <c r="I11" s="51" t="s">
        <v>106</v>
      </c>
      <c r="J11" s="88">
        <f>_xlfn.XLOOKUP(I11,'3-2. AI위험(안전성) 식별 및 평가'!$E$7:$E$42,'3-2. AI위험(안전성) 식별 및 평가'!$F$7:$F$42,"")</f>
        <v>0</v>
      </c>
      <c r="K11" s="88" t="str">
        <f>_xlfn.XLOOKUP(I11,'3-2. AI위험(안전성) 식별 및 평가'!$E$7:$E$42,'3-2. AI위험(안전성) 식별 및 평가'!$W$7:$W$42,"")</f>
        <v/>
      </c>
      <c r="L11" s="88" t="str">
        <f>_xlfn.XLOOKUP(I11,'3-2. AI위험(안전성) 식별 및 평가'!$E$7:$E$42,'3-2. AI위험(안전성) 식별 및 평가'!$X$7:$X$42,"")</f>
        <v/>
      </c>
      <c r="M11" s="88">
        <f>_xlfn.XLOOKUP(I11,'3-2. AI위험(안전성) 식별 및 평가'!$E$7:$E$42,'3-2. AI위험(안전성) 식별 및 평가'!$AF$7:$AF$42,"")</f>
        <v>0</v>
      </c>
      <c r="N11" s="37"/>
    </row>
    <row r="12" spans="1:14" ht="30" customHeight="1" x14ac:dyDescent="0.4">
      <c r="A12" s="37"/>
      <c r="B12" s="51" t="s">
        <v>103</v>
      </c>
      <c r="C12" s="51" t="s">
        <v>107</v>
      </c>
      <c r="D12" s="86">
        <f>COUNTIFS('3-2. AI위험(안전성) 식별 및 평가'!$D$7:$D$42,C12,'3-2. AI위험(안전성) 식별 및 평가'!$F$7:$F$42,"yes")</f>
        <v>0</v>
      </c>
      <c r="E12" s="37"/>
      <c r="F12" s="87" t="s">
        <v>108</v>
      </c>
      <c r="G12" s="51" t="s">
        <v>89</v>
      </c>
      <c r="H12" s="51" t="s">
        <v>96</v>
      </c>
      <c r="I12" s="51" t="s">
        <v>109</v>
      </c>
      <c r="J12" s="88">
        <f>_xlfn.XLOOKUP(I12,'3-2. AI위험(안전성) 식별 및 평가'!$E$7:$E$42,'3-2. AI위험(안전성) 식별 및 평가'!$F$7:$F$42,"")</f>
        <v>0</v>
      </c>
      <c r="K12" s="88" t="str">
        <f>_xlfn.XLOOKUP(I12,'3-2. AI위험(안전성) 식별 및 평가'!$E$7:$E$42,'3-2. AI위험(안전성) 식별 및 평가'!$W$7:$W$42,"")</f>
        <v/>
      </c>
      <c r="L12" s="88" t="str">
        <f>_xlfn.XLOOKUP(I12,'3-2. AI위험(안전성) 식별 및 평가'!$E$7:$E$42,'3-2. AI위험(안전성) 식별 및 평가'!$X$7:$X$42,"")</f>
        <v/>
      </c>
      <c r="M12" s="88">
        <f>_xlfn.XLOOKUP(I12,'3-2. AI위험(안전성) 식별 및 평가'!$E$7:$E$42,'3-2. AI위험(안전성) 식별 및 평가'!$AF$7:$AF$42,"")</f>
        <v>0</v>
      </c>
      <c r="N12" s="37"/>
    </row>
    <row r="13" spans="1:14" ht="30" customHeight="1" x14ac:dyDescent="0.4">
      <c r="A13" s="37"/>
      <c r="B13" s="51" t="s">
        <v>103</v>
      </c>
      <c r="C13" s="51" t="s">
        <v>110</v>
      </c>
      <c r="D13" s="86">
        <f>COUNTIFS('3-2. AI위험(안전성) 식별 및 평가'!$D$7:$D$42,C13,'3-2. AI위험(안전성) 식별 및 평가'!$F$7:$F$42,"yes")</f>
        <v>0</v>
      </c>
      <c r="E13" s="37"/>
      <c r="F13" s="87" t="s">
        <v>111</v>
      </c>
      <c r="G13" s="51" t="s">
        <v>89</v>
      </c>
      <c r="H13" s="51" t="s">
        <v>96</v>
      </c>
      <c r="I13" s="51" t="s">
        <v>112</v>
      </c>
      <c r="J13" s="88">
        <f>_xlfn.XLOOKUP(I13,'3-2. AI위험(안전성) 식별 및 평가'!$E$7:$E$42,'3-2. AI위험(안전성) 식별 및 평가'!$F$7:$F$42,"")</f>
        <v>0</v>
      </c>
      <c r="K13" s="88" t="str">
        <f>_xlfn.XLOOKUP(I13,'3-2. AI위험(안전성) 식별 및 평가'!$E$7:$E$42,'3-2. AI위험(안전성) 식별 및 평가'!$W$7:$W$42,"")</f>
        <v/>
      </c>
      <c r="L13" s="88" t="str">
        <f>_xlfn.XLOOKUP(I13,'3-2. AI위험(안전성) 식별 및 평가'!$E$7:$E$42,'3-2. AI위험(안전성) 식별 및 평가'!$X$7:$X$42,"")</f>
        <v/>
      </c>
      <c r="M13" s="88">
        <f>_xlfn.XLOOKUP(I13,'3-2. AI위험(안전성) 식별 및 평가'!$E$7:$E$42,'3-2. AI위험(안전성) 식별 및 평가'!$AF$7:$AF$42,"")</f>
        <v>0</v>
      </c>
      <c r="N13" s="37"/>
    </row>
    <row r="14" spans="1:14" ht="30" customHeight="1" x14ac:dyDescent="0.4">
      <c r="A14" s="37"/>
      <c r="B14" s="89" t="s">
        <v>99</v>
      </c>
      <c r="C14" s="89"/>
      <c r="D14" s="90">
        <v>0</v>
      </c>
      <c r="E14" s="37"/>
      <c r="F14" s="87" t="s">
        <v>113</v>
      </c>
      <c r="G14" s="51" t="s">
        <v>89</v>
      </c>
      <c r="H14" s="51" t="s">
        <v>96</v>
      </c>
      <c r="I14" s="51" t="s">
        <v>114</v>
      </c>
      <c r="J14" s="88">
        <f>_xlfn.XLOOKUP(I14,'3-2. AI위험(안전성) 식별 및 평가'!$E$7:$E$42,'3-2. AI위험(안전성) 식별 및 평가'!$F$7:$F$42,"")</f>
        <v>0</v>
      </c>
      <c r="K14" s="88" t="str">
        <f>_xlfn.XLOOKUP(I14,'3-2. AI위험(안전성) 식별 및 평가'!$E$7:$E$42,'3-2. AI위험(안전성) 식별 및 평가'!$W$7:$W$42,"")</f>
        <v/>
      </c>
      <c r="L14" s="88" t="str">
        <f>_xlfn.XLOOKUP(I14,'3-2. AI위험(안전성) 식별 및 평가'!$E$7:$E$42,'3-2. AI위험(안전성) 식별 및 평가'!$X$7:$X$42,"")</f>
        <v/>
      </c>
      <c r="M14" s="88">
        <f>_xlfn.XLOOKUP(I14,'3-2. AI위험(안전성) 식별 및 평가'!$E$7:$E$42,'3-2. AI위험(안전성) 식별 및 평가'!$AF$7:$AF$42,"")</f>
        <v>0</v>
      </c>
      <c r="N14" s="37"/>
    </row>
    <row r="15" spans="1:14" ht="30" customHeight="1" x14ac:dyDescent="0.4">
      <c r="A15" s="37"/>
      <c r="B15" s="51" t="s">
        <v>115</v>
      </c>
      <c r="C15" s="51" t="s">
        <v>116</v>
      </c>
      <c r="D15" s="86">
        <f>COUNTIFS('3-2. AI위험(안전성) 식별 및 평가'!$D$7:$D$42,C15,'3-2. AI위험(안전성) 식별 및 평가'!$F$7:$F$42,"yes")</f>
        <v>0</v>
      </c>
      <c r="E15" s="37"/>
      <c r="F15" s="87" t="s">
        <v>117</v>
      </c>
      <c r="G15" s="51" t="s">
        <v>89</v>
      </c>
      <c r="H15" s="51" t="s">
        <v>96</v>
      </c>
      <c r="I15" s="51" t="s">
        <v>118</v>
      </c>
      <c r="J15" s="88">
        <f>_xlfn.XLOOKUP(I15,'3-2. AI위험(안전성) 식별 및 평가'!$E$7:$E$42,'3-2. AI위험(안전성) 식별 및 평가'!$F$7:$F$42,"")</f>
        <v>0</v>
      </c>
      <c r="K15" s="88" t="str">
        <f>_xlfn.XLOOKUP(I15,'3-2. AI위험(안전성) 식별 및 평가'!$E$7:$E$42,'3-2. AI위험(안전성) 식별 및 평가'!$W$7:$W$42,"")</f>
        <v/>
      </c>
      <c r="L15" s="88" t="str">
        <f>_xlfn.XLOOKUP(I15,'3-2. AI위험(안전성) 식별 및 평가'!$E$7:$E$42,'3-2. AI위험(안전성) 식별 및 평가'!$X$7:$X$42,"")</f>
        <v/>
      </c>
      <c r="M15" s="88">
        <f>_xlfn.XLOOKUP(I15,'3-2. AI위험(안전성) 식별 및 평가'!$E$7:$E$42,'3-2. AI위험(안전성) 식별 및 평가'!$AF$7:$AF$42,"")</f>
        <v>0</v>
      </c>
      <c r="N15" s="37"/>
    </row>
    <row r="16" spans="1:14" ht="30" customHeight="1" x14ac:dyDescent="0.4">
      <c r="A16" s="37"/>
      <c r="B16" s="51" t="s">
        <v>115</v>
      </c>
      <c r="C16" s="51" t="s">
        <v>119</v>
      </c>
      <c r="D16" s="86">
        <f>COUNTIFS('3-2. AI위험(안전성) 식별 및 평가'!$D$7:$D$42,C16,'3-2. AI위험(안전성) 식별 및 평가'!$F$7:$F$42,"yes")</f>
        <v>0</v>
      </c>
      <c r="E16" s="37"/>
      <c r="F16" s="87" t="s">
        <v>120</v>
      </c>
      <c r="G16" s="51" t="s">
        <v>103</v>
      </c>
      <c r="H16" s="51" t="s">
        <v>104</v>
      </c>
      <c r="I16" s="51" t="s">
        <v>121</v>
      </c>
      <c r="J16" s="88">
        <f>_xlfn.XLOOKUP(I16,'3-2. AI위험(안전성) 식별 및 평가'!$E$7:$E$42,'3-2. AI위험(안전성) 식별 및 평가'!$F$7:$F$42,"")</f>
        <v>0</v>
      </c>
      <c r="K16" s="88" t="str">
        <f>_xlfn.XLOOKUP(I16,'3-2. AI위험(안전성) 식별 및 평가'!$E$7:$E$42,'3-2. AI위험(안전성) 식별 및 평가'!$W$7:$W$42,"")</f>
        <v/>
      </c>
      <c r="L16" s="88" t="str">
        <f>_xlfn.XLOOKUP(I16,'3-2. AI위험(안전성) 식별 및 평가'!$E$7:$E$42,'3-2. AI위험(안전성) 식별 및 평가'!$X$7:$X$42,"")</f>
        <v/>
      </c>
      <c r="M16" s="88">
        <f>_xlfn.XLOOKUP(I16,'3-2. AI위험(안전성) 식별 및 평가'!$E$7:$E$42,'3-2. AI위험(안전성) 식별 및 평가'!$AF$7:$AF$42,"")</f>
        <v>0</v>
      </c>
      <c r="N16" s="37"/>
    </row>
    <row r="17" spans="1:14" ht="30" customHeight="1" x14ac:dyDescent="0.4">
      <c r="A17" s="37"/>
      <c r="B17" s="51" t="s">
        <v>115</v>
      </c>
      <c r="C17" s="51" t="s">
        <v>122</v>
      </c>
      <c r="D17" s="86">
        <f>COUNTIFS('3-2. AI위험(안전성) 식별 및 평가'!$D$7:$D$42,C17,'3-2. AI위험(안전성) 식별 및 평가'!$F$7:$F$42,"yes")</f>
        <v>0</v>
      </c>
      <c r="E17" s="37"/>
      <c r="F17" s="87" t="s">
        <v>123</v>
      </c>
      <c r="G17" s="51" t="s">
        <v>103</v>
      </c>
      <c r="H17" s="51" t="s">
        <v>104</v>
      </c>
      <c r="I17" s="51" t="s">
        <v>124</v>
      </c>
      <c r="J17" s="88">
        <f>_xlfn.XLOOKUP(I17,'3-2. AI위험(안전성) 식별 및 평가'!$E$7:$E$42,'3-2. AI위험(안전성) 식별 및 평가'!$F$7:$F$42,"")</f>
        <v>0</v>
      </c>
      <c r="K17" s="88" t="str">
        <f>_xlfn.XLOOKUP(I17,'3-2. AI위험(안전성) 식별 및 평가'!$E$7:$E$42,'3-2. AI위험(안전성) 식별 및 평가'!$W$7:$W$42,"")</f>
        <v/>
      </c>
      <c r="L17" s="88" t="str">
        <f>_xlfn.XLOOKUP(I17,'3-2. AI위험(안전성) 식별 및 평가'!$E$7:$E$42,'3-2. AI위험(안전성) 식별 및 평가'!$X$7:$X$42,"")</f>
        <v/>
      </c>
      <c r="M17" s="88">
        <f>_xlfn.XLOOKUP(I17,'3-2. AI위험(안전성) 식별 및 평가'!$E$7:$E$42,'3-2. AI위험(안전성) 식별 및 평가'!$AF$7:$AF$42,"")</f>
        <v>0</v>
      </c>
      <c r="N17" s="37"/>
    </row>
    <row r="18" spans="1:14" ht="30" customHeight="1" x14ac:dyDescent="0.4">
      <c r="A18" s="37"/>
      <c r="B18" s="89" t="s">
        <v>99</v>
      </c>
      <c r="C18" s="89"/>
      <c r="D18" s="90">
        <v>0</v>
      </c>
      <c r="E18" s="37"/>
      <c r="F18" s="87" t="s">
        <v>125</v>
      </c>
      <c r="G18" s="51" t="s">
        <v>103</v>
      </c>
      <c r="H18" s="51" t="s">
        <v>104</v>
      </c>
      <c r="I18" s="51" t="s">
        <v>126</v>
      </c>
      <c r="J18" s="88">
        <f>_xlfn.XLOOKUP(I18,'3-2. AI위험(안전성) 식별 및 평가'!$E$7:$E$42,'3-2. AI위험(안전성) 식별 및 평가'!$F$7:$F$42,"")</f>
        <v>0</v>
      </c>
      <c r="K18" s="88" t="str">
        <f>_xlfn.XLOOKUP(I18,'3-2. AI위험(안전성) 식별 및 평가'!$E$7:$E$42,'3-2. AI위험(안전성) 식별 및 평가'!$W$7:$W$42,"")</f>
        <v/>
      </c>
      <c r="L18" s="88" t="str">
        <f>_xlfn.XLOOKUP(I18,'3-2. AI위험(안전성) 식별 및 평가'!$E$7:$E$42,'3-2. AI위험(안전성) 식별 및 평가'!$X$7:$X$42,"")</f>
        <v/>
      </c>
      <c r="M18" s="88">
        <f>_xlfn.XLOOKUP(I18,'3-2. AI위험(안전성) 식별 및 평가'!$E$7:$E$42,'3-2. AI위험(안전성) 식별 및 평가'!$AF$7:$AF$42,"")</f>
        <v>0</v>
      </c>
      <c r="N18" s="37"/>
    </row>
    <row r="19" spans="1:14" ht="30" customHeight="1" x14ac:dyDescent="0.4">
      <c r="A19" s="37"/>
      <c r="B19" s="37"/>
      <c r="C19" s="37"/>
      <c r="D19" s="37"/>
      <c r="E19" s="37"/>
      <c r="F19" s="87" t="s">
        <v>127</v>
      </c>
      <c r="G19" s="51" t="s">
        <v>103</v>
      </c>
      <c r="H19" s="51" t="s">
        <v>104</v>
      </c>
      <c r="I19" s="51" t="s">
        <v>128</v>
      </c>
      <c r="J19" s="88">
        <f>_xlfn.XLOOKUP(I19,'3-2. AI위험(안전성) 식별 및 평가'!$E$7:$E$42,'3-2. AI위험(안전성) 식별 및 평가'!$F$7:$F$42,"")</f>
        <v>0</v>
      </c>
      <c r="K19" s="88" t="str">
        <f>_xlfn.XLOOKUP(I19,'3-2. AI위험(안전성) 식별 및 평가'!$E$7:$E$42,'3-2. AI위험(안전성) 식별 및 평가'!$W$7:$W$42,"")</f>
        <v/>
      </c>
      <c r="L19" s="88" t="str">
        <f>_xlfn.XLOOKUP(I19,'3-2. AI위험(안전성) 식별 및 평가'!$E$7:$E$42,'3-2. AI위험(안전성) 식별 및 평가'!$X$7:$X$42,"")</f>
        <v/>
      </c>
      <c r="M19" s="88">
        <f>_xlfn.XLOOKUP(I19,'3-2. AI위험(안전성) 식별 및 평가'!$E$7:$E$42,'3-2. AI위험(안전성) 식별 및 평가'!$AF$7:$AF$42,"")</f>
        <v>0</v>
      </c>
      <c r="N19" s="37"/>
    </row>
    <row r="20" spans="1:14" ht="30" customHeight="1" x14ac:dyDescent="0.4">
      <c r="A20" s="37"/>
      <c r="B20" s="37"/>
      <c r="C20" s="37"/>
      <c r="D20" s="37"/>
      <c r="E20" s="37"/>
      <c r="F20" s="87" t="s">
        <v>129</v>
      </c>
      <c r="G20" s="51" t="s">
        <v>103</v>
      </c>
      <c r="H20" s="51" t="s">
        <v>107</v>
      </c>
      <c r="I20" s="51" t="s">
        <v>130</v>
      </c>
      <c r="J20" s="88">
        <f>_xlfn.XLOOKUP(I20,'3-2. AI위험(안전성) 식별 및 평가'!$E$7:$E$42,'3-2. AI위험(안전성) 식별 및 평가'!$F$7:$F$42,"")</f>
        <v>0</v>
      </c>
      <c r="K20" s="88" t="str">
        <f>_xlfn.XLOOKUP(I20,'3-2. AI위험(안전성) 식별 및 평가'!$E$7:$E$42,'3-2. AI위험(안전성) 식별 및 평가'!$W$7:$W$42,"")</f>
        <v/>
      </c>
      <c r="L20" s="88" t="str">
        <f>_xlfn.XLOOKUP(I20,'3-2. AI위험(안전성) 식별 및 평가'!$E$7:$E$42,'3-2. AI위험(안전성) 식별 및 평가'!$X$7:$X$42,"")</f>
        <v/>
      </c>
      <c r="M20" s="88">
        <f>_xlfn.XLOOKUP(I20,'3-2. AI위험(안전성) 식별 및 평가'!$E$7:$E$42,'3-2. AI위험(안전성) 식별 및 평가'!$AF$7:$AF$42,"")</f>
        <v>0</v>
      </c>
      <c r="N20" s="37"/>
    </row>
    <row r="21" spans="1:14" ht="30" customHeight="1" x14ac:dyDescent="0.4">
      <c r="A21" s="37"/>
      <c r="B21" s="37"/>
      <c r="C21" s="37"/>
      <c r="D21" s="37"/>
      <c r="E21" s="37"/>
      <c r="F21" s="87" t="s">
        <v>131</v>
      </c>
      <c r="G21" s="51" t="s">
        <v>103</v>
      </c>
      <c r="H21" s="51" t="s">
        <v>107</v>
      </c>
      <c r="I21" s="51" t="s">
        <v>132</v>
      </c>
      <c r="J21" s="88">
        <f>_xlfn.XLOOKUP(I21,'3-2. AI위험(안전성) 식별 및 평가'!$E$7:$E$42,'3-2. AI위험(안전성) 식별 및 평가'!$F$7:$F$42,"")</f>
        <v>0</v>
      </c>
      <c r="K21" s="88" t="str">
        <f>_xlfn.XLOOKUP(I21,'3-2. AI위험(안전성) 식별 및 평가'!$E$7:$E$42,'3-2. AI위험(안전성) 식별 및 평가'!$W$7:$W$42,"")</f>
        <v/>
      </c>
      <c r="L21" s="88" t="str">
        <f>_xlfn.XLOOKUP(I21,'3-2. AI위험(안전성) 식별 및 평가'!$E$7:$E$42,'3-2. AI위험(안전성) 식별 및 평가'!$X$7:$X$42,"")</f>
        <v/>
      </c>
      <c r="M21" s="88">
        <f>_xlfn.XLOOKUP(I21,'3-2. AI위험(안전성) 식별 및 평가'!$E$7:$E$42,'3-2. AI위험(안전성) 식별 및 평가'!$AF$7:$AF$42,"")</f>
        <v>0</v>
      </c>
      <c r="N21" s="37"/>
    </row>
    <row r="22" spans="1:14" ht="30" customHeight="1" x14ac:dyDescent="0.4">
      <c r="A22" s="37"/>
      <c r="B22" s="37"/>
      <c r="C22" s="37"/>
      <c r="D22" s="37"/>
      <c r="E22" s="37"/>
      <c r="F22" s="87" t="s">
        <v>133</v>
      </c>
      <c r="G22" s="51" t="s">
        <v>103</v>
      </c>
      <c r="H22" s="51" t="s">
        <v>134</v>
      </c>
      <c r="I22" s="51" t="s">
        <v>135</v>
      </c>
      <c r="J22" s="88">
        <f>_xlfn.XLOOKUP(I22,'3-2. AI위험(안전성) 식별 및 평가'!$E$7:$E$42,'3-2. AI위험(안전성) 식별 및 평가'!$F$7:$F$42,"")</f>
        <v>0</v>
      </c>
      <c r="K22" s="88" t="str">
        <f>_xlfn.XLOOKUP(I22,'3-2. AI위험(안전성) 식별 및 평가'!$E$7:$E$42,'3-2. AI위험(안전성) 식별 및 평가'!$W$7:$W$42,"")</f>
        <v/>
      </c>
      <c r="L22" s="88" t="str">
        <f>_xlfn.XLOOKUP(I22,'3-2. AI위험(안전성) 식별 및 평가'!$E$7:$E$42,'3-2. AI위험(안전성) 식별 및 평가'!$X$7:$X$42,"")</f>
        <v/>
      </c>
      <c r="M22" s="88">
        <f>_xlfn.XLOOKUP(I22,'3-2. AI위험(안전성) 식별 및 평가'!$E$7:$E$42,'3-2. AI위험(안전성) 식별 및 평가'!$AF$7:$AF$42,"")</f>
        <v>0</v>
      </c>
      <c r="N22" s="37"/>
    </row>
    <row r="23" spans="1:14" ht="30" customHeight="1" x14ac:dyDescent="0.4">
      <c r="A23" s="37"/>
      <c r="B23" s="37"/>
      <c r="C23" s="37"/>
      <c r="D23" s="37"/>
      <c r="E23" s="37"/>
      <c r="F23" s="87" t="s">
        <v>136</v>
      </c>
      <c r="G23" s="51" t="s">
        <v>103</v>
      </c>
      <c r="H23" s="51" t="s">
        <v>134</v>
      </c>
      <c r="I23" s="51" t="s">
        <v>137</v>
      </c>
      <c r="J23" s="88">
        <f>_xlfn.XLOOKUP(I23,'3-2. AI위험(안전성) 식별 및 평가'!$E$7:$E$42,'3-2. AI위험(안전성) 식별 및 평가'!$F$7:$F$42,"")</f>
        <v>0</v>
      </c>
      <c r="K23" s="88" t="str">
        <f>_xlfn.XLOOKUP(I23,'3-2. AI위험(안전성) 식별 및 평가'!$E$7:$E$42,'3-2. AI위험(안전성) 식별 및 평가'!$W$7:$W$42,"")</f>
        <v/>
      </c>
      <c r="L23" s="88" t="str">
        <f>_xlfn.XLOOKUP(I23,'3-2. AI위험(안전성) 식별 및 평가'!$E$7:$E$42,'3-2. AI위험(안전성) 식별 및 평가'!$X$7:$X$42,"")</f>
        <v/>
      </c>
      <c r="M23" s="88">
        <f>_xlfn.XLOOKUP(I23,'3-2. AI위험(안전성) 식별 및 평가'!$E$7:$E$42,'3-2. AI위험(안전성) 식별 및 평가'!$AF$7:$AF$42,"")</f>
        <v>0</v>
      </c>
      <c r="N23" s="37"/>
    </row>
    <row r="24" spans="1:14" ht="30" customHeight="1" x14ac:dyDescent="0.4">
      <c r="A24" s="37"/>
      <c r="B24" s="37"/>
      <c r="C24" s="37"/>
      <c r="D24" s="37"/>
      <c r="E24" s="37"/>
      <c r="F24" s="87" t="s">
        <v>138</v>
      </c>
      <c r="G24" s="51" t="s">
        <v>89</v>
      </c>
      <c r="H24" s="51" t="s">
        <v>96</v>
      </c>
      <c r="I24" s="51" t="s">
        <v>139</v>
      </c>
      <c r="J24" s="88">
        <f>_xlfn.XLOOKUP(I24,'3-2. AI위험(안전성) 식별 및 평가'!$E$7:$E$42,'3-2. AI위험(안전성) 식별 및 평가'!$F$7:$F$42,"")</f>
        <v>0</v>
      </c>
      <c r="K24" s="88" t="str">
        <f>_xlfn.XLOOKUP(I24,'3-2. AI위험(안전성) 식별 및 평가'!$E$7:$E$42,'3-2. AI위험(안전성) 식별 및 평가'!$W$7:$W$42,"")</f>
        <v/>
      </c>
      <c r="L24" s="88" t="str">
        <f>_xlfn.XLOOKUP(I24,'3-2. AI위험(안전성) 식별 및 평가'!$E$7:$E$42,'3-2. AI위험(안전성) 식별 및 평가'!$X$7:$X$42,"")</f>
        <v/>
      </c>
      <c r="M24" s="88">
        <f>_xlfn.XLOOKUP(I24,'3-2. AI위험(안전성) 식별 및 평가'!$E$7:$E$42,'3-2. AI위험(안전성) 식별 및 평가'!$AF$7:$AF$42,"")</f>
        <v>0</v>
      </c>
      <c r="N24" s="37"/>
    </row>
    <row r="25" spans="1:14" ht="30" customHeight="1" x14ac:dyDescent="0.4">
      <c r="A25" s="37"/>
      <c r="B25" s="37"/>
      <c r="C25" s="37"/>
      <c r="D25" s="37"/>
      <c r="E25" s="37"/>
      <c r="F25" s="87" t="s">
        <v>140</v>
      </c>
      <c r="G25" s="51" t="s">
        <v>89</v>
      </c>
      <c r="H25" s="51" t="s">
        <v>96</v>
      </c>
      <c r="I25" s="51" t="s">
        <v>141</v>
      </c>
      <c r="J25" s="88">
        <f>_xlfn.XLOOKUP(I25,'3-2. AI위험(안전성) 식별 및 평가'!$E$7:$E$42,'3-2. AI위험(안전성) 식별 및 평가'!$F$7:$F$42,"")</f>
        <v>0</v>
      </c>
      <c r="K25" s="88" t="str">
        <f>_xlfn.XLOOKUP(I25,'3-2. AI위험(안전성) 식별 및 평가'!$E$7:$E$42,'3-2. AI위험(안전성) 식별 및 평가'!$W$7:$W$42,"")</f>
        <v/>
      </c>
      <c r="L25" s="88" t="str">
        <f>_xlfn.XLOOKUP(I25,'3-2. AI위험(안전성) 식별 및 평가'!$E$7:$E$42,'3-2. AI위험(안전성) 식별 및 평가'!$X$7:$X$42,"")</f>
        <v/>
      </c>
      <c r="M25" s="88">
        <f>_xlfn.XLOOKUP(I25,'3-2. AI위험(안전성) 식별 및 평가'!$E$7:$E$42,'3-2. AI위험(안전성) 식별 및 평가'!$AF$7:$AF$42,"")</f>
        <v>0</v>
      </c>
      <c r="N25" s="37"/>
    </row>
    <row r="26" spans="1:14" ht="30" customHeight="1" x14ac:dyDescent="0.4">
      <c r="A26" s="37"/>
      <c r="B26" s="37"/>
      <c r="C26" s="37"/>
      <c r="D26" s="37"/>
      <c r="E26" s="37"/>
      <c r="F26" s="87" t="s">
        <v>142</v>
      </c>
      <c r="G26" s="51" t="s">
        <v>103</v>
      </c>
      <c r="H26" s="51" t="s">
        <v>104</v>
      </c>
      <c r="I26" s="51" t="s">
        <v>143</v>
      </c>
      <c r="J26" s="88">
        <f>_xlfn.XLOOKUP(I26,'3-2. AI위험(안전성) 식별 및 평가'!$E$7:$E$42,'3-2. AI위험(안전성) 식별 및 평가'!$F$7:$F$42,"")</f>
        <v>0</v>
      </c>
      <c r="K26" s="88" t="str">
        <f>_xlfn.XLOOKUP(I26,'3-2. AI위험(안전성) 식별 및 평가'!$E$7:$E$42,'3-2. AI위험(안전성) 식별 및 평가'!$W$7:$W$42,"")</f>
        <v/>
      </c>
      <c r="L26" s="88" t="str">
        <f>_xlfn.XLOOKUP(I26,'3-2. AI위험(안전성) 식별 및 평가'!$E$7:$E$42,'3-2. AI위험(안전성) 식별 및 평가'!$X$7:$X$42,"")</f>
        <v/>
      </c>
      <c r="M26" s="88">
        <f>_xlfn.XLOOKUP(I26,'3-2. AI위험(안전성) 식별 및 평가'!$E$7:$E$42,'3-2. AI위험(안전성) 식별 및 평가'!$AF$7:$AF$42,"")</f>
        <v>0</v>
      </c>
      <c r="N26" s="37"/>
    </row>
    <row r="27" spans="1:14" ht="30" customHeight="1" x14ac:dyDescent="0.4">
      <c r="A27" s="37"/>
      <c r="B27" s="37"/>
      <c r="C27" s="37"/>
      <c r="D27" s="37"/>
      <c r="E27" s="37"/>
      <c r="F27" s="87" t="s">
        <v>144</v>
      </c>
      <c r="G27" s="51" t="s">
        <v>115</v>
      </c>
      <c r="H27" s="51" t="s">
        <v>116</v>
      </c>
      <c r="I27" s="51" t="s">
        <v>145</v>
      </c>
      <c r="J27" s="88">
        <f>_xlfn.XLOOKUP(I27,'3-2. AI위험(안전성) 식별 및 평가'!$E$7:$E$42,'3-2. AI위험(안전성) 식별 및 평가'!$F$7:$F$42,"")</f>
        <v>0</v>
      </c>
      <c r="K27" s="88" t="str">
        <f>_xlfn.XLOOKUP(I27,'3-2. AI위험(안전성) 식별 및 평가'!$E$7:$E$42,'3-2. AI위험(안전성) 식별 및 평가'!$W$7:$W$42,"")</f>
        <v/>
      </c>
      <c r="L27" s="88" t="str">
        <f>_xlfn.XLOOKUP(I27,'3-2. AI위험(안전성) 식별 및 평가'!$E$7:$E$42,'3-2. AI위험(안전성) 식별 및 평가'!$X$7:$X$42,"")</f>
        <v/>
      </c>
      <c r="M27" s="88">
        <f>_xlfn.XLOOKUP(I27,'3-2. AI위험(안전성) 식별 및 평가'!$E$7:$E$42,'3-2. AI위험(안전성) 식별 및 평가'!$AF$7:$AF$42,"")</f>
        <v>0</v>
      </c>
      <c r="N27" s="37"/>
    </row>
    <row r="28" spans="1:14" ht="30" customHeight="1" x14ac:dyDescent="0.4">
      <c r="A28" s="37"/>
      <c r="B28" s="37"/>
      <c r="C28" s="37"/>
      <c r="D28" s="37"/>
      <c r="E28" s="37"/>
      <c r="F28" s="87" t="s">
        <v>146</v>
      </c>
      <c r="G28" s="51" t="s">
        <v>115</v>
      </c>
      <c r="H28" s="51" t="s">
        <v>119</v>
      </c>
      <c r="I28" s="51" t="s">
        <v>147</v>
      </c>
      <c r="J28" s="88">
        <f>_xlfn.XLOOKUP(I28,'3-2. AI위험(안전성) 식별 및 평가'!$E$7:$E$42,'3-2. AI위험(안전성) 식별 및 평가'!$F$7:$F$42,"")</f>
        <v>0</v>
      </c>
      <c r="K28" s="88" t="str">
        <f>_xlfn.XLOOKUP(I28,'3-2. AI위험(안전성) 식별 및 평가'!$E$7:$E$42,'3-2. AI위험(안전성) 식별 및 평가'!$W$7:$W$42,"")</f>
        <v/>
      </c>
      <c r="L28" s="88" t="str">
        <f>_xlfn.XLOOKUP(I28,'3-2. AI위험(안전성) 식별 및 평가'!$E$7:$E$42,'3-2. AI위험(안전성) 식별 및 평가'!$X$7:$X$42,"")</f>
        <v/>
      </c>
      <c r="M28" s="88">
        <f>_xlfn.XLOOKUP(I28,'3-2. AI위험(안전성) 식별 및 평가'!$E$7:$E$42,'3-2. AI위험(안전성) 식별 및 평가'!$AF$7:$AF$42,"")</f>
        <v>0</v>
      </c>
      <c r="N28" s="37"/>
    </row>
    <row r="29" spans="1:14" ht="30" customHeight="1" x14ac:dyDescent="0.4">
      <c r="A29" s="37"/>
      <c r="B29" s="37"/>
      <c r="C29" s="37"/>
      <c r="D29" s="37"/>
      <c r="E29" s="37"/>
      <c r="F29" s="87" t="s">
        <v>148</v>
      </c>
      <c r="G29" s="51" t="s">
        <v>115</v>
      </c>
      <c r="H29" s="51" t="s">
        <v>122</v>
      </c>
      <c r="I29" s="51" t="s">
        <v>149</v>
      </c>
      <c r="J29" s="88">
        <f>_xlfn.XLOOKUP(I29,'3-2. AI위험(안전성) 식별 및 평가'!$E$7:$E$42,'3-2. AI위험(안전성) 식별 및 평가'!$F$7:$F$42,"")</f>
        <v>0</v>
      </c>
      <c r="K29" s="88" t="str">
        <f>_xlfn.XLOOKUP(I29,'3-2. AI위험(안전성) 식별 및 평가'!$E$7:$E$42,'3-2. AI위험(안전성) 식별 및 평가'!$W$7:$W$42,"")</f>
        <v/>
      </c>
      <c r="L29" s="88" t="str">
        <f>_xlfn.XLOOKUP(I29,'3-2. AI위험(안전성) 식별 및 평가'!$E$7:$E$42,'3-2. AI위험(안전성) 식별 및 평가'!$X$7:$X$42,"")</f>
        <v/>
      </c>
      <c r="M29" s="88">
        <f>_xlfn.XLOOKUP(I29,'3-2. AI위험(안전성) 식별 및 평가'!$E$7:$E$42,'3-2. AI위험(안전성) 식별 및 평가'!$AF$7:$AF$42,"")</f>
        <v>0</v>
      </c>
      <c r="N29" s="37"/>
    </row>
    <row r="30" spans="1:14" ht="30" customHeight="1" x14ac:dyDescent="0.4">
      <c r="A30" s="37"/>
      <c r="B30" s="37"/>
      <c r="C30" s="37"/>
      <c r="D30" s="37"/>
      <c r="E30" s="37"/>
      <c r="F30" s="87" t="s">
        <v>150</v>
      </c>
      <c r="G30" s="51" t="s">
        <v>89</v>
      </c>
      <c r="H30" s="51" t="s">
        <v>90</v>
      </c>
      <c r="I30" s="51" t="s">
        <v>151</v>
      </c>
      <c r="J30" s="88">
        <f>_xlfn.XLOOKUP(I30,'3-2. AI위험(안전성) 식별 및 평가'!$E$7:$E$42,'3-2. AI위험(안전성) 식별 및 평가'!$F$7:$F$42,"")</f>
        <v>0</v>
      </c>
      <c r="K30" s="88" t="str">
        <f>_xlfn.XLOOKUP(I30,'3-2. AI위험(안전성) 식별 및 평가'!$E$7:$E$42,'3-2. AI위험(안전성) 식별 및 평가'!$W$7:$W$42,"")</f>
        <v/>
      </c>
      <c r="L30" s="88" t="str">
        <f>_xlfn.XLOOKUP(I30,'3-2. AI위험(안전성) 식별 및 평가'!$E$7:$E$42,'3-2. AI위험(안전성) 식별 및 평가'!$X$7:$X$42,"")</f>
        <v/>
      </c>
      <c r="M30" s="88">
        <f>_xlfn.XLOOKUP(I30,'3-2. AI위험(안전성) 식별 및 평가'!$E$7:$E$42,'3-2. AI위험(안전성) 식별 및 평가'!$AF$7:$AF$42,"")</f>
        <v>0</v>
      </c>
      <c r="N30" s="37"/>
    </row>
    <row r="31" spans="1:14" ht="30" customHeight="1" x14ac:dyDescent="0.4">
      <c r="A31" s="37"/>
      <c r="B31" s="37"/>
      <c r="C31" s="37"/>
      <c r="D31" s="37"/>
      <c r="E31" s="37"/>
      <c r="F31" s="87" t="s">
        <v>152</v>
      </c>
      <c r="G31" s="51" t="s">
        <v>89</v>
      </c>
      <c r="H31" s="51" t="s">
        <v>96</v>
      </c>
      <c r="I31" s="51" t="s">
        <v>153</v>
      </c>
      <c r="J31" s="88">
        <f>_xlfn.XLOOKUP(I31,'3-2. AI위험(안전성) 식별 및 평가'!$E$7:$E$42,'3-2. AI위험(안전성) 식별 및 평가'!$F$7:$F$42,"")</f>
        <v>0</v>
      </c>
      <c r="K31" s="88" t="str">
        <f>_xlfn.XLOOKUP(I31,'3-2. AI위험(안전성) 식별 및 평가'!$E$7:$E$42,'3-2. AI위험(안전성) 식별 및 평가'!$W$7:$W$42,"")</f>
        <v/>
      </c>
      <c r="L31" s="88" t="str">
        <f>_xlfn.XLOOKUP(I31,'3-2. AI위험(안전성) 식별 및 평가'!$E$7:$E$42,'3-2. AI위험(안전성) 식별 및 평가'!$X$7:$X$42,"")</f>
        <v/>
      </c>
      <c r="M31" s="88">
        <f>_xlfn.XLOOKUP(I31,'3-2. AI위험(안전성) 식별 및 평가'!$E$7:$E$42,'3-2. AI위험(안전성) 식별 및 평가'!$AF$7:$AF$42,"")</f>
        <v>0</v>
      </c>
      <c r="N31" s="37"/>
    </row>
    <row r="32" spans="1:14" ht="30" customHeight="1" x14ac:dyDescent="0.4">
      <c r="A32" s="37"/>
      <c r="B32" s="37"/>
      <c r="C32" s="37"/>
      <c r="D32" s="37"/>
      <c r="E32" s="37"/>
      <c r="F32" s="87" t="s">
        <v>154</v>
      </c>
      <c r="G32" s="51" t="s">
        <v>103</v>
      </c>
      <c r="H32" s="51" t="s">
        <v>104</v>
      </c>
      <c r="I32" s="51" t="s">
        <v>155</v>
      </c>
      <c r="J32" s="88">
        <f>_xlfn.XLOOKUP(I32,'3-2. AI위험(안전성) 식별 및 평가'!$E$7:$E$42,'3-2. AI위험(안전성) 식별 및 평가'!$F$7:$F$42,"")</f>
        <v>0</v>
      </c>
      <c r="K32" s="88" t="str">
        <f>_xlfn.XLOOKUP(I32,'3-2. AI위험(안전성) 식별 및 평가'!$E$7:$E$42,'3-2. AI위험(안전성) 식별 및 평가'!$W$7:$W$42,"")</f>
        <v/>
      </c>
      <c r="L32" s="88" t="str">
        <f>_xlfn.XLOOKUP(I32,'3-2. AI위험(안전성) 식별 및 평가'!$E$7:$E$42,'3-2. AI위험(안전성) 식별 및 평가'!$X$7:$X$42,"")</f>
        <v/>
      </c>
      <c r="M32" s="88">
        <f>_xlfn.XLOOKUP(I32,'3-2. AI위험(안전성) 식별 및 평가'!$E$7:$E$42,'3-2. AI위험(안전성) 식별 및 평가'!$AF$7:$AF$42,"")</f>
        <v>0</v>
      </c>
      <c r="N32" s="37"/>
    </row>
    <row r="33" spans="1:14" ht="30" customHeight="1" x14ac:dyDescent="0.4">
      <c r="A33" s="37"/>
      <c r="B33" s="37"/>
      <c r="C33" s="37"/>
      <c r="D33" s="37"/>
      <c r="E33" s="37"/>
      <c r="F33" s="87" t="s">
        <v>156</v>
      </c>
      <c r="G33" s="51" t="s">
        <v>103</v>
      </c>
      <c r="H33" s="51" t="s">
        <v>104</v>
      </c>
      <c r="I33" s="51" t="s">
        <v>157</v>
      </c>
      <c r="J33" s="88">
        <f>_xlfn.XLOOKUP(I33,'3-2. AI위험(안전성) 식별 및 평가'!$E$7:$E$42,'3-2. AI위험(안전성) 식별 및 평가'!$F$7:$F$42,"")</f>
        <v>0</v>
      </c>
      <c r="K33" s="88" t="str">
        <f>_xlfn.XLOOKUP(I33,'3-2. AI위험(안전성) 식별 및 평가'!$E$7:$E$42,'3-2. AI위험(안전성) 식별 및 평가'!$W$7:$W$42,"")</f>
        <v/>
      </c>
      <c r="L33" s="88" t="str">
        <f>_xlfn.XLOOKUP(I33,'3-2. AI위험(안전성) 식별 및 평가'!$E$7:$E$42,'3-2. AI위험(안전성) 식별 및 평가'!$X$7:$X$42,"")</f>
        <v/>
      </c>
      <c r="M33" s="88">
        <f>_xlfn.XLOOKUP(I33,'3-2. AI위험(안전성) 식별 및 평가'!$E$7:$E$42,'3-2. AI위험(안전성) 식별 및 평가'!$AF$7:$AF$42,"")</f>
        <v>0</v>
      </c>
      <c r="N33" s="37"/>
    </row>
    <row r="34" spans="1:14" ht="30" customHeight="1" x14ac:dyDescent="0.4">
      <c r="A34" s="37"/>
      <c r="B34" s="37"/>
      <c r="C34" s="37"/>
      <c r="D34" s="37"/>
      <c r="E34" s="37"/>
      <c r="F34" s="87" t="s">
        <v>158</v>
      </c>
      <c r="G34" s="51" t="s">
        <v>103</v>
      </c>
      <c r="H34" s="51" t="s">
        <v>107</v>
      </c>
      <c r="I34" s="51" t="s">
        <v>159</v>
      </c>
      <c r="J34" s="88">
        <f>_xlfn.XLOOKUP(I34,'3-2. AI위험(안전성) 식별 및 평가'!$E$7:$E$42,'3-2. AI위험(안전성) 식별 및 평가'!$F$7:$F$42,"")</f>
        <v>0</v>
      </c>
      <c r="K34" s="88" t="str">
        <f>_xlfn.XLOOKUP(I34,'3-2. AI위험(안전성) 식별 및 평가'!$E$7:$E$42,'3-2. AI위험(안전성) 식별 및 평가'!$W$7:$W$42,"")</f>
        <v/>
      </c>
      <c r="L34" s="88" t="str">
        <f>_xlfn.XLOOKUP(I34,'3-2. AI위험(안전성) 식별 및 평가'!$E$7:$E$42,'3-2. AI위험(안전성) 식별 및 평가'!$X$7:$X$42,"")</f>
        <v/>
      </c>
      <c r="M34" s="88">
        <f>_xlfn.XLOOKUP(I34,'3-2. AI위험(안전성) 식별 및 평가'!$E$7:$E$42,'3-2. AI위험(안전성) 식별 및 평가'!$AF$7:$AF$42,"")</f>
        <v>0</v>
      </c>
      <c r="N34" s="37"/>
    </row>
    <row r="35" spans="1:14" ht="30" customHeight="1" x14ac:dyDescent="0.4">
      <c r="A35" s="37"/>
      <c r="B35" s="37"/>
      <c r="C35" s="37"/>
      <c r="D35" s="37"/>
      <c r="E35" s="37"/>
      <c r="F35" s="87" t="s">
        <v>160</v>
      </c>
      <c r="G35" s="51" t="s">
        <v>89</v>
      </c>
      <c r="H35" s="51" t="s">
        <v>96</v>
      </c>
      <c r="I35" s="51" t="s">
        <v>161</v>
      </c>
      <c r="J35" s="88">
        <f>_xlfn.XLOOKUP(I35,'3-2. AI위험(안전성) 식별 및 평가'!$E$7:$E$42,'3-2. AI위험(안전성) 식별 및 평가'!$F$7:$F$42,"")</f>
        <v>0</v>
      </c>
      <c r="K35" s="88" t="str">
        <f>_xlfn.XLOOKUP(I35,'3-2. AI위험(안전성) 식별 및 평가'!$E$7:$E$42,'3-2. AI위험(안전성) 식별 및 평가'!$W$7:$W$42,"")</f>
        <v/>
      </c>
      <c r="L35" s="88" t="str">
        <f>_xlfn.XLOOKUP(I35,'3-2. AI위험(안전성) 식별 및 평가'!$E$7:$E$42,'3-2. AI위험(안전성) 식별 및 평가'!$X$7:$X$42,"")</f>
        <v/>
      </c>
      <c r="M35" s="88">
        <f>_xlfn.XLOOKUP(I35,'3-2. AI위험(안전성) 식별 및 평가'!$E$7:$E$42,'3-2. AI위험(안전성) 식별 및 평가'!$AF$7:$AF$42,"")</f>
        <v>0</v>
      </c>
      <c r="N35" s="37"/>
    </row>
    <row r="36" spans="1:14" ht="30" customHeight="1" x14ac:dyDescent="0.4">
      <c r="A36" s="37"/>
      <c r="B36" s="37"/>
      <c r="C36" s="37"/>
      <c r="D36" s="37"/>
      <c r="E36" s="37"/>
      <c r="F36" s="87" t="s">
        <v>162</v>
      </c>
      <c r="G36" s="51" t="s">
        <v>103</v>
      </c>
      <c r="H36" s="51" t="s">
        <v>134</v>
      </c>
      <c r="I36" s="51" t="s">
        <v>163</v>
      </c>
      <c r="J36" s="88">
        <f>_xlfn.XLOOKUP(I36,'3-2. AI위험(안전성) 식별 및 평가'!$E$7:$E$42,'3-2. AI위험(안전성) 식별 및 평가'!$F$7:$F$42,"")</f>
        <v>0</v>
      </c>
      <c r="K36" s="88" t="str">
        <f>_xlfn.XLOOKUP(I36,'3-2. AI위험(안전성) 식별 및 평가'!$E$7:$E$42,'3-2. AI위험(안전성) 식별 및 평가'!$W$7:$W$42,"")</f>
        <v/>
      </c>
      <c r="L36" s="88" t="str">
        <f>_xlfn.XLOOKUP(I36,'3-2. AI위험(안전성) 식별 및 평가'!$E$7:$E$42,'3-2. AI위험(안전성) 식별 및 평가'!$X$7:$X$42,"")</f>
        <v/>
      </c>
      <c r="M36" s="88">
        <f>_xlfn.XLOOKUP(I36,'3-2. AI위험(안전성) 식별 및 평가'!$E$7:$E$42,'3-2. AI위험(안전성) 식별 및 평가'!$AF$7:$AF$42,"")</f>
        <v>0</v>
      </c>
      <c r="N36" s="37"/>
    </row>
    <row r="37" spans="1:14" ht="30" customHeight="1" x14ac:dyDescent="0.4">
      <c r="A37" s="37"/>
      <c r="B37" s="37"/>
      <c r="C37" s="37"/>
      <c r="D37" s="37"/>
      <c r="E37" s="37"/>
      <c r="F37" s="87" t="s">
        <v>164</v>
      </c>
      <c r="G37" s="51" t="s">
        <v>89</v>
      </c>
      <c r="H37" s="51" t="s">
        <v>101</v>
      </c>
      <c r="I37" s="51" t="s">
        <v>165</v>
      </c>
      <c r="J37" s="88">
        <f>_xlfn.XLOOKUP(I37,'3-2. AI위험(안전성) 식별 및 평가'!$E$7:$E$42,'3-2. AI위험(안전성) 식별 및 평가'!$F$7:$F$42,"")</f>
        <v>0</v>
      </c>
      <c r="K37" s="88" t="str">
        <f>_xlfn.XLOOKUP(I37,'3-2. AI위험(안전성) 식별 및 평가'!$E$7:$E$42,'3-2. AI위험(안전성) 식별 및 평가'!$W$7:$W$42,"")</f>
        <v/>
      </c>
      <c r="L37" s="88" t="str">
        <f>_xlfn.XLOOKUP(I37,'3-2. AI위험(안전성) 식별 및 평가'!$E$7:$E$42,'3-2. AI위험(안전성) 식별 및 평가'!$X$7:$X$42,"")</f>
        <v/>
      </c>
      <c r="M37" s="88">
        <f>_xlfn.XLOOKUP(I37,'3-2. AI위험(안전성) 식별 및 평가'!$E$7:$E$42,'3-2. AI위험(안전성) 식별 및 평가'!$AF$7:$AF$42,"")</f>
        <v>0</v>
      </c>
      <c r="N37" s="37"/>
    </row>
    <row r="38" spans="1:14" ht="30" customHeight="1" x14ac:dyDescent="0.4">
      <c r="A38" s="37"/>
      <c r="B38" s="37"/>
      <c r="C38" s="37"/>
      <c r="D38" s="37"/>
      <c r="E38" s="37"/>
      <c r="F38" s="87" t="s">
        <v>166</v>
      </c>
      <c r="G38" s="51" t="s">
        <v>89</v>
      </c>
      <c r="H38" s="51" t="s">
        <v>96</v>
      </c>
      <c r="I38" s="51" t="s">
        <v>167</v>
      </c>
      <c r="J38" s="88">
        <f>_xlfn.XLOOKUP(I38,'3-2. AI위험(안전성) 식별 및 평가'!$E$7:$E$42,'3-2. AI위험(안전성) 식별 및 평가'!$F$7:$F$42,"")</f>
        <v>0</v>
      </c>
      <c r="K38" s="88" t="str">
        <f>_xlfn.XLOOKUP(I38,'3-2. AI위험(안전성) 식별 및 평가'!$E$7:$E$42,'3-2. AI위험(안전성) 식별 및 평가'!$W$7:$W$42,"")</f>
        <v/>
      </c>
      <c r="L38" s="88" t="str">
        <f>_xlfn.XLOOKUP(I38,'3-2. AI위험(안전성) 식별 및 평가'!$E$7:$E$42,'3-2. AI위험(안전성) 식별 및 평가'!$X$7:$X$42,"")</f>
        <v/>
      </c>
      <c r="M38" s="88">
        <f>_xlfn.XLOOKUP(I38,'3-2. AI위험(안전성) 식별 및 평가'!$E$7:$E$42,'3-2. AI위험(안전성) 식별 및 평가'!$AF$7:$AF$42,"")</f>
        <v>0</v>
      </c>
      <c r="N38" s="37"/>
    </row>
    <row r="39" spans="1:14" ht="30" customHeight="1" x14ac:dyDescent="0.4">
      <c r="A39" s="37"/>
      <c r="B39" s="37"/>
      <c r="C39" s="37"/>
      <c r="D39" s="37"/>
      <c r="E39" s="37"/>
      <c r="F39" s="87" t="s">
        <v>168</v>
      </c>
      <c r="G39" s="51" t="s">
        <v>115</v>
      </c>
      <c r="H39" s="51" t="s">
        <v>116</v>
      </c>
      <c r="I39" s="51" t="s">
        <v>169</v>
      </c>
      <c r="J39" s="88">
        <f>_xlfn.XLOOKUP(I39,'3-2. AI위험(안전성) 식별 및 평가'!$E$7:$E$42,'3-2. AI위험(안전성) 식별 및 평가'!$F$7:$F$42,"")</f>
        <v>0</v>
      </c>
      <c r="K39" s="88" t="str">
        <f>_xlfn.XLOOKUP(I39,'3-2. AI위험(안전성) 식별 및 평가'!$E$7:$E$42,'3-2. AI위험(안전성) 식별 및 평가'!$W$7:$W$42,"")</f>
        <v/>
      </c>
      <c r="L39" s="88" t="str">
        <f>_xlfn.XLOOKUP(I39,'3-2. AI위험(안전성) 식별 및 평가'!$E$7:$E$42,'3-2. AI위험(안전성) 식별 및 평가'!$X$7:$X$42,"")</f>
        <v/>
      </c>
      <c r="M39" s="88">
        <f>_xlfn.XLOOKUP(I39,'3-2. AI위험(안전성) 식별 및 평가'!$E$7:$E$42,'3-2. AI위험(안전성) 식별 및 평가'!$AF$7:$AF$42,"")</f>
        <v>0</v>
      </c>
      <c r="N39" s="37"/>
    </row>
    <row r="40" spans="1:14" ht="30" customHeight="1" x14ac:dyDescent="0.4">
      <c r="A40" s="37"/>
      <c r="B40" s="37"/>
      <c r="C40" s="37"/>
      <c r="D40" s="37"/>
      <c r="E40" s="37"/>
      <c r="F40" s="87" t="s">
        <v>170</v>
      </c>
      <c r="G40" s="51" t="s">
        <v>115</v>
      </c>
      <c r="H40" s="51" t="s">
        <v>119</v>
      </c>
      <c r="I40" s="51" t="s">
        <v>171</v>
      </c>
      <c r="J40" s="88">
        <f>_xlfn.XLOOKUP(I40,'3-2. AI위험(안전성) 식별 및 평가'!$E$7:$E$42,'3-2. AI위험(안전성) 식별 및 평가'!$F$7:$F$42,"")</f>
        <v>0</v>
      </c>
      <c r="K40" s="88" t="str">
        <f>_xlfn.XLOOKUP(I40,'3-2. AI위험(안전성) 식별 및 평가'!$E$7:$E$42,'3-2. AI위험(안전성) 식별 및 평가'!$W$7:$W$42,"")</f>
        <v/>
      </c>
      <c r="L40" s="88" t="str">
        <f>_xlfn.XLOOKUP(I40,'3-2. AI위험(안전성) 식별 및 평가'!$E$7:$E$42,'3-2. AI위험(안전성) 식별 및 평가'!$X$7:$X$42,"")</f>
        <v/>
      </c>
      <c r="M40" s="88">
        <f>_xlfn.XLOOKUP(I40,'3-2. AI위험(안전성) 식별 및 평가'!$E$7:$E$42,'3-2. AI위험(안전성) 식별 및 평가'!$AF$7:$AF$42,"")</f>
        <v>0</v>
      </c>
      <c r="N40" s="37"/>
    </row>
    <row r="41" spans="1:14" ht="30" customHeight="1" x14ac:dyDescent="0.4">
      <c r="A41" s="37"/>
      <c r="B41" s="37"/>
      <c r="C41" s="37"/>
      <c r="D41" s="37"/>
      <c r="E41" s="37"/>
      <c r="F41" s="87" t="s">
        <v>172</v>
      </c>
      <c r="G41" s="51" t="s">
        <v>103</v>
      </c>
      <c r="H41" s="51" t="s">
        <v>104</v>
      </c>
      <c r="I41" s="51" t="s">
        <v>173</v>
      </c>
      <c r="J41" s="88">
        <f>_xlfn.XLOOKUP(I41,'3-2. AI위험(안전성) 식별 및 평가'!$E$7:$E$42,'3-2. AI위험(안전성) 식별 및 평가'!$F$7:$F$42,"")</f>
        <v>0</v>
      </c>
      <c r="K41" s="88" t="str">
        <f>_xlfn.XLOOKUP(I41,'3-2. AI위험(안전성) 식별 및 평가'!$E$7:$E$42,'3-2. AI위험(안전성) 식별 및 평가'!$W$7:$W$42,"")</f>
        <v/>
      </c>
      <c r="L41" s="88" t="str">
        <f>_xlfn.XLOOKUP(I41,'3-2. AI위험(안전성) 식별 및 평가'!$E$7:$E$42,'3-2. AI위험(안전성) 식별 및 평가'!$X$7:$X$42,"")</f>
        <v/>
      </c>
      <c r="M41" s="88">
        <f>_xlfn.XLOOKUP(I41,'3-2. AI위험(안전성) 식별 및 평가'!$E$7:$E$42,'3-2. AI위험(안전성) 식별 및 평가'!$AF$7:$AF$42,"")</f>
        <v>0</v>
      </c>
      <c r="N41" s="37"/>
    </row>
    <row r="42" spans="1:14" ht="30" customHeight="1" x14ac:dyDescent="0.4">
      <c r="A42" s="37"/>
      <c r="B42" s="37"/>
      <c r="C42" s="37"/>
      <c r="D42" s="37"/>
      <c r="E42" s="37"/>
      <c r="F42" s="87" t="s">
        <v>174</v>
      </c>
      <c r="G42" s="51" t="s">
        <v>89</v>
      </c>
      <c r="H42" s="51" t="s">
        <v>96</v>
      </c>
      <c r="I42" s="51" t="s">
        <v>175</v>
      </c>
      <c r="J42" s="88">
        <f>_xlfn.XLOOKUP(I42,'3-2. AI위험(안전성) 식별 및 평가'!$E$7:$E$42,'3-2. AI위험(안전성) 식별 및 평가'!$F$7:$F$42,"")</f>
        <v>0</v>
      </c>
      <c r="K42" s="88" t="str">
        <f>_xlfn.XLOOKUP(I42,'3-2. AI위험(안전성) 식별 및 평가'!$E$7:$E$42,'3-2. AI위험(안전성) 식별 및 평가'!$W$7:$W$42,"")</f>
        <v/>
      </c>
      <c r="L42" s="88" t="str">
        <f>_xlfn.XLOOKUP(I42,'3-2. AI위험(안전성) 식별 및 평가'!$E$7:$E$42,'3-2. AI위험(안전성) 식별 및 평가'!$X$7:$X$42,"")</f>
        <v/>
      </c>
      <c r="M42" s="88">
        <f>_xlfn.XLOOKUP(I42,'3-2. AI위험(안전성) 식별 및 평가'!$E$7:$E$42,'3-2. AI위험(안전성) 식별 및 평가'!$AF$7:$AF$42,"")</f>
        <v>0</v>
      </c>
      <c r="N42" s="37"/>
    </row>
    <row r="43" spans="1:14" x14ac:dyDescent="0.4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</row>
  </sheetData>
  <autoFilter ref="F6:I42" xr:uid="{5F48FE22-CBAE-4BF3-B579-1436EFBBE88B}"/>
  <mergeCells count="4">
    <mergeCell ref="K5:L5"/>
    <mergeCell ref="B10:C10"/>
    <mergeCell ref="B14:C14"/>
    <mergeCell ref="B18:C18"/>
  </mergeCells>
  <phoneticPr fontId="1" type="noConversion"/>
  <pageMargins left="0.7" right="0.7" top="0.75" bottom="0.75" header="0.3" footer="0.3"/>
  <pageSetup paperSize="9" scale="3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C8B0-F38A-44DC-9856-91D66205C77E}">
  <dimension ref="A1:AJ43"/>
  <sheetViews>
    <sheetView view="pageBreakPreview" zoomScale="55" zoomScaleNormal="40" zoomScaleSheetLayoutView="55" workbookViewId="0">
      <pane xSplit="5" ySplit="6" topLeftCell="F7" activePane="bottomRight" state="frozen"/>
      <selection activeCell="G14" sqref="G14"/>
      <selection pane="topRight" activeCell="G14" sqref="G14"/>
      <selection pane="bottomLeft" activeCell="G14" sqref="G14"/>
      <selection pane="bottomRight" activeCell="G14" sqref="G14"/>
    </sheetView>
  </sheetViews>
  <sheetFormatPr defaultRowHeight="13.8" outlineLevelCol="1" x14ac:dyDescent="0.4"/>
  <cols>
    <col min="1" max="1" width="3.5" style="37" customWidth="1"/>
    <col min="2" max="2" width="5.3984375" style="38" customWidth="1"/>
    <col min="3" max="3" width="22.3984375" style="38" customWidth="1"/>
    <col min="4" max="4" width="47.59765625" style="38" customWidth="1"/>
    <col min="5" max="5" width="42.19921875" style="38" customWidth="1"/>
    <col min="6" max="6" width="11" style="38" customWidth="1"/>
    <col min="7" max="7" width="32.69921875" style="38" customWidth="1"/>
    <col min="8" max="8" width="11" style="38" customWidth="1"/>
    <col min="9" max="9" width="17.296875" style="38" customWidth="1"/>
    <col min="10" max="10" width="17.296875" style="38" hidden="1" customWidth="1" outlineLevel="1"/>
    <col min="11" max="12" width="13" style="38" hidden="1" customWidth="1" outlineLevel="1"/>
    <col min="13" max="13" width="20.3984375" style="38" hidden="1" customWidth="1" outlineLevel="1"/>
    <col min="14" max="15" width="17.296875" style="38" hidden="1" customWidth="1" outlineLevel="1"/>
    <col min="16" max="16" width="3.59765625" style="38" customWidth="1" collapsed="1"/>
    <col min="17" max="21" width="6.3984375" style="38" customWidth="1"/>
    <col min="22" max="22" width="39.296875" style="38" customWidth="1"/>
    <col min="23" max="23" width="17.3984375" style="38" customWidth="1"/>
    <col min="24" max="28" width="14" style="38" customWidth="1"/>
    <col min="29" max="29" width="11" style="38" customWidth="1"/>
    <col min="30" max="30" width="36.296875" style="38" customWidth="1"/>
    <col min="31" max="31" width="3.8984375" style="37" customWidth="1"/>
    <col min="32" max="33" width="14.69921875" style="38" customWidth="1"/>
    <col min="34" max="35" width="14" style="38" customWidth="1"/>
    <col min="36" max="36" width="2.09765625" style="37" customWidth="1"/>
    <col min="37" max="16384" width="8.796875" style="38"/>
  </cols>
  <sheetData>
    <row r="1" spans="1:36" s="37" customFormat="1" x14ac:dyDescent="0.4"/>
    <row r="2" spans="1:36" s="92" customFormat="1" ht="21.6" customHeight="1" x14ac:dyDescent="0.4">
      <c r="A2" s="84"/>
      <c r="B2" s="91" t="s">
        <v>176</v>
      </c>
      <c r="C2" s="91"/>
      <c r="D2" s="91"/>
      <c r="E2" s="91"/>
      <c r="F2" s="91"/>
      <c r="G2" s="91"/>
      <c r="H2" s="91"/>
      <c r="I2" s="91"/>
      <c r="J2" s="37"/>
      <c r="K2" s="37"/>
      <c r="L2" s="37"/>
      <c r="M2" s="37"/>
      <c r="N2" s="37"/>
      <c r="O2" s="37"/>
      <c r="P2" s="84"/>
      <c r="Q2" s="91" t="s">
        <v>177</v>
      </c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84"/>
      <c r="AF2" s="91" t="s">
        <v>178</v>
      </c>
      <c r="AG2" s="91"/>
      <c r="AH2" s="91"/>
      <c r="AI2" s="91"/>
      <c r="AJ2" s="84"/>
    </row>
    <row r="3" spans="1:36" s="37" customFormat="1" ht="265.2" customHeight="1" x14ac:dyDescent="0.4">
      <c r="B3" s="93" t="s">
        <v>179</v>
      </c>
      <c r="C3" s="94"/>
      <c r="D3" s="94"/>
      <c r="E3" s="94"/>
      <c r="F3" s="94"/>
      <c r="G3" s="94"/>
      <c r="H3" s="94"/>
      <c r="I3" s="95"/>
      <c r="Q3" s="96" t="s">
        <v>180</v>
      </c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F3" s="96" t="s">
        <v>181</v>
      </c>
      <c r="AG3" s="96"/>
      <c r="AH3" s="96"/>
      <c r="AI3" s="96"/>
    </row>
    <row r="4" spans="1:36" ht="10.199999999999999" customHeight="1" x14ac:dyDescent="0.4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F4" s="37"/>
      <c r="AG4" s="37"/>
      <c r="AH4" s="37"/>
      <c r="AI4" s="37"/>
    </row>
    <row r="5" spans="1:36" ht="19.2" customHeight="1" x14ac:dyDescent="0.4">
      <c r="B5" s="97" t="s">
        <v>182</v>
      </c>
      <c r="C5" s="97" t="s">
        <v>80</v>
      </c>
      <c r="D5" s="97" t="s">
        <v>81</v>
      </c>
      <c r="E5" s="97" t="s">
        <v>183</v>
      </c>
      <c r="F5" s="98" t="s">
        <v>184</v>
      </c>
      <c r="G5" s="98" t="s">
        <v>185</v>
      </c>
      <c r="H5" s="98" t="s">
        <v>186</v>
      </c>
      <c r="I5" s="99" t="s">
        <v>187</v>
      </c>
      <c r="J5" s="99" t="s">
        <v>188</v>
      </c>
      <c r="K5" s="100" t="s">
        <v>189</v>
      </c>
      <c r="L5" s="101"/>
      <c r="M5" s="99" t="s">
        <v>190</v>
      </c>
      <c r="N5" s="102" t="s">
        <v>191</v>
      </c>
      <c r="O5" s="99" t="s">
        <v>192</v>
      </c>
      <c r="P5" s="37"/>
      <c r="Q5" s="103" t="s">
        <v>193</v>
      </c>
      <c r="R5" s="103"/>
      <c r="S5" s="103"/>
      <c r="T5" s="103"/>
      <c r="U5" s="103"/>
      <c r="V5" s="103"/>
      <c r="W5" s="104" t="s">
        <v>86</v>
      </c>
      <c r="X5" s="104" t="s">
        <v>87</v>
      </c>
      <c r="Y5" s="105" t="s">
        <v>194</v>
      </c>
      <c r="Z5" s="105" t="s">
        <v>195</v>
      </c>
      <c r="AA5" s="105" t="s">
        <v>196</v>
      </c>
      <c r="AB5" s="105" t="s">
        <v>197</v>
      </c>
      <c r="AC5" s="106" t="s">
        <v>198</v>
      </c>
      <c r="AD5" s="107"/>
      <c r="AF5" s="108" t="s">
        <v>199</v>
      </c>
      <c r="AG5" s="108" t="s">
        <v>200</v>
      </c>
      <c r="AH5" s="108" t="s">
        <v>201</v>
      </c>
      <c r="AI5" s="108" t="s">
        <v>202</v>
      </c>
    </row>
    <row r="6" spans="1:36" s="116" customFormat="1" ht="31.2" x14ac:dyDescent="0.4">
      <c r="A6" s="109"/>
      <c r="B6" s="97"/>
      <c r="C6" s="97"/>
      <c r="D6" s="97"/>
      <c r="E6" s="97"/>
      <c r="F6" s="98"/>
      <c r="G6" s="98"/>
      <c r="H6" s="98"/>
      <c r="I6" s="99"/>
      <c r="J6" s="99"/>
      <c r="K6" s="110" t="s">
        <v>203</v>
      </c>
      <c r="L6" s="110" t="s">
        <v>204</v>
      </c>
      <c r="M6" s="99"/>
      <c r="N6" s="111"/>
      <c r="O6" s="99"/>
      <c r="P6" s="109"/>
      <c r="Q6" s="112" t="s">
        <v>205</v>
      </c>
      <c r="R6" s="112" t="s">
        <v>206</v>
      </c>
      <c r="S6" s="112" t="s">
        <v>207</v>
      </c>
      <c r="T6" s="112" t="s">
        <v>208</v>
      </c>
      <c r="U6" s="112" t="s">
        <v>209</v>
      </c>
      <c r="V6" s="112" t="s">
        <v>185</v>
      </c>
      <c r="W6" s="104"/>
      <c r="X6" s="104"/>
      <c r="Y6" s="113"/>
      <c r="Z6" s="113"/>
      <c r="AA6" s="113"/>
      <c r="AB6" s="113"/>
      <c r="AC6" s="114" t="s">
        <v>210</v>
      </c>
      <c r="AD6" s="112" t="s">
        <v>185</v>
      </c>
      <c r="AE6" s="109"/>
      <c r="AF6" s="115"/>
      <c r="AG6" s="115"/>
      <c r="AH6" s="115"/>
      <c r="AI6" s="115"/>
      <c r="AJ6" s="109"/>
    </row>
    <row r="7" spans="1:36" ht="30" customHeight="1" x14ac:dyDescent="0.4">
      <c r="B7" s="87" t="s">
        <v>91</v>
      </c>
      <c r="C7" s="51" t="s">
        <v>89</v>
      </c>
      <c r="D7" s="51" t="s">
        <v>90</v>
      </c>
      <c r="E7" s="51" t="s">
        <v>211</v>
      </c>
      <c r="F7" s="51"/>
      <c r="G7" s="86"/>
      <c r="H7" s="86"/>
      <c r="I7" s="117" t="s">
        <v>212</v>
      </c>
      <c r="J7" s="117" t="s">
        <v>213</v>
      </c>
      <c r="K7" s="117" t="s">
        <v>214</v>
      </c>
      <c r="L7" s="117" t="s">
        <v>215</v>
      </c>
      <c r="M7" s="117" t="s">
        <v>216</v>
      </c>
      <c r="N7" s="118" t="s">
        <v>217</v>
      </c>
      <c r="O7" s="118" t="s">
        <v>218</v>
      </c>
      <c r="P7" s="37"/>
      <c r="Q7" s="51"/>
      <c r="R7" s="51"/>
      <c r="S7" s="51"/>
      <c r="T7" s="51"/>
      <c r="U7" s="51"/>
      <c r="V7" s="119"/>
      <c r="W7" s="88" t="str">
        <f t="shared" ref="W7:W42" si="0">IFERROR((Q7*R7)*(S7*T7)*(1/U7),"")</f>
        <v/>
      </c>
      <c r="X7" s="88" t="str">
        <f t="shared" ref="X7:X42" si="1">IF(OR(W7=0,W7=""),"",IF(W7&gt;=100,"즉시조치필요",IF(AND(W7&gt;=20,W7&lt;100),"1개월내대응","정기모니터링")))</f>
        <v/>
      </c>
      <c r="Y7" s="119"/>
      <c r="Z7" s="119"/>
      <c r="AA7" s="119"/>
      <c r="AB7" s="119"/>
      <c r="AC7" s="51"/>
      <c r="AD7" s="119"/>
      <c r="AF7" s="120"/>
      <c r="AG7" s="119"/>
      <c r="AH7" s="119"/>
      <c r="AI7" s="119"/>
    </row>
    <row r="8" spans="1:36" ht="30" customHeight="1" x14ac:dyDescent="0.4">
      <c r="B8" s="87" t="s">
        <v>94</v>
      </c>
      <c r="C8" s="51" t="s">
        <v>219</v>
      </c>
      <c r="D8" s="51" t="s">
        <v>220</v>
      </c>
      <c r="E8" s="51" t="s">
        <v>95</v>
      </c>
      <c r="F8" s="51"/>
      <c r="G8" s="86"/>
      <c r="H8" s="86"/>
      <c r="I8" s="51"/>
      <c r="J8" s="51"/>
      <c r="K8" s="51"/>
      <c r="L8" s="51"/>
      <c r="M8" s="51"/>
      <c r="N8" s="51"/>
      <c r="O8" s="51"/>
      <c r="P8" s="37"/>
      <c r="Q8" s="51"/>
      <c r="R8" s="51"/>
      <c r="S8" s="51"/>
      <c r="T8" s="51"/>
      <c r="U8" s="51"/>
      <c r="V8" s="119"/>
      <c r="W8" s="88" t="str">
        <f t="shared" si="0"/>
        <v/>
      </c>
      <c r="X8" s="88" t="str">
        <f t="shared" si="1"/>
        <v/>
      </c>
      <c r="Y8" s="119"/>
      <c r="Z8" s="119"/>
      <c r="AA8" s="119"/>
      <c r="AB8" s="119"/>
      <c r="AC8" s="51"/>
      <c r="AD8" s="119"/>
      <c r="AF8" s="120"/>
      <c r="AG8" s="119"/>
      <c r="AH8" s="119"/>
      <c r="AI8" s="119"/>
    </row>
    <row r="9" spans="1:36" ht="30" customHeight="1" x14ac:dyDescent="0.4">
      <c r="B9" s="87" t="s">
        <v>97</v>
      </c>
      <c r="C9" s="51" t="s">
        <v>219</v>
      </c>
      <c r="D9" s="51" t="s">
        <v>220</v>
      </c>
      <c r="E9" s="51" t="s">
        <v>98</v>
      </c>
      <c r="F9" s="51"/>
      <c r="G9" s="86"/>
      <c r="H9" s="86"/>
      <c r="I9" s="51"/>
      <c r="J9" s="51"/>
      <c r="K9" s="51"/>
      <c r="L9" s="51"/>
      <c r="M9" s="51"/>
      <c r="N9" s="51"/>
      <c r="O9" s="51"/>
      <c r="P9" s="37"/>
      <c r="Q9" s="51"/>
      <c r="R9" s="51"/>
      <c r="S9" s="51"/>
      <c r="T9" s="51"/>
      <c r="U9" s="51"/>
      <c r="V9" s="119"/>
      <c r="W9" s="88" t="str">
        <f t="shared" si="0"/>
        <v/>
      </c>
      <c r="X9" s="88" t="str">
        <f t="shared" si="1"/>
        <v/>
      </c>
      <c r="Y9" s="119"/>
      <c r="Z9" s="119"/>
      <c r="AA9" s="119"/>
      <c r="AB9" s="119"/>
      <c r="AC9" s="51"/>
      <c r="AD9" s="119"/>
      <c r="AF9" s="120"/>
      <c r="AG9" s="119"/>
      <c r="AH9" s="119"/>
      <c r="AI9" s="119"/>
    </row>
    <row r="10" spans="1:36" ht="30" customHeight="1" x14ac:dyDescent="0.4">
      <c r="B10" s="87" t="s">
        <v>100</v>
      </c>
      <c r="C10" s="51" t="s">
        <v>219</v>
      </c>
      <c r="D10" s="51" t="s">
        <v>221</v>
      </c>
      <c r="E10" s="51" t="s">
        <v>102</v>
      </c>
      <c r="F10" s="51"/>
      <c r="G10" s="86"/>
      <c r="H10" s="86"/>
      <c r="I10" s="51"/>
      <c r="J10" s="51"/>
      <c r="K10" s="51"/>
      <c r="L10" s="51"/>
      <c r="M10" s="51"/>
      <c r="N10" s="51"/>
      <c r="O10" s="51"/>
      <c r="P10" s="37"/>
      <c r="Q10" s="51"/>
      <c r="R10" s="51"/>
      <c r="S10" s="51"/>
      <c r="T10" s="51"/>
      <c r="U10" s="51"/>
      <c r="V10" s="119"/>
      <c r="W10" s="88" t="str">
        <f t="shared" si="0"/>
        <v/>
      </c>
      <c r="X10" s="88" t="str">
        <f t="shared" si="1"/>
        <v/>
      </c>
      <c r="Y10" s="119"/>
      <c r="Z10" s="119"/>
      <c r="AA10" s="119"/>
      <c r="AB10" s="119"/>
      <c r="AC10" s="51"/>
      <c r="AD10" s="119"/>
      <c r="AF10" s="120"/>
      <c r="AG10" s="119"/>
      <c r="AH10" s="119"/>
      <c r="AI10" s="119"/>
    </row>
    <row r="11" spans="1:36" ht="30" customHeight="1" x14ac:dyDescent="0.4">
      <c r="B11" s="87" t="s">
        <v>105</v>
      </c>
      <c r="C11" s="51" t="s">
        <v>219</v>
      </c>
      <c r="D11" s="51" t="s">
        <v>221</v>
      </c>
      <c r="E11" s="51" t="s">
        <v>106</v>
      </c>
      <c r="F11" s="51"/>
      <c r="G11" s="86"/>
      <c r="H11" s="86"/>
      <c r="I11" s="51"/>
      <c r="J11" s="51"/>
      <c r="K11" s="51"/>
      <c r="L11" s="51"/>
      <c r="M11" s="51"/>
      <c r="N11" s="51"/>
      <c r="O11" s="51"/>
      <c r="P11" s="37"/>
      <c r="Q11" s="51"/>
      <c r="R11" s="51"/>
      <c r="S11" s="51"/>
      <c r="T11" s="51"/>
      <c r="U11" s="51"/>
      <c r="V11" s="119"/>
      <c r="W11" s="88" t="str">
        <f t="shared" si="0"/>
        <v/>
      </c>
      <c r="X11" s="88" t="str">
        <f t="shared" si="1"/>
        <v/>
      </c>
      <c r="Y11" s="119"/>
      <c r="Z11" s="119"/>
      <c r="AA11" s="119"/>
      <c r="AB11" s="119"/>
      <c r="AC11" s="51"/>
      <c r="AD11" s="119"/>
      <c r="AF11" s="120"/>
      <c r="AG11" s="119"/>
      <c r="AH11" s="119"/>
      <c r="AI11" s="119"/>
    </row>
    <row r="12" spans="1:36" ht="30" customHeight="1" x14ac:dyDescent="0.4">
      <c r="B12" s="87" t="s">
        <v>108</v>
      </c>
      <c r="C12" s="51" t="s">
        <v>219</v>
      </c>
      <c r="D12" s="51" t="s">
        <v>222</v>
      </c>
      <c r="E12" s="51" t="s">
        <v>109</v>
      </c>
      <c r="F12" s="51"/>
      <c r="G12" s="86"/>
      <c r="H12" s="86"/>
      <c r="I12" s="51"/>
      <c r="J12" s="51"/>
      <c r="K12" s="51"/>
      <c r="L12" s="51"/>
      <c r="M12" s="51"/>
      <c r="N12" s="51"/>
      <c r="O12" s="51"/>
      <c r="P12" s="37"/>
      <c r="Q12" s="51"/>
      <c r="R12" s="51"/>
      <c r="S12" s="51"/>
      <c r="T12" s="51"/>
      <c r="U12" s="51"/>
      <c r="V12" s="119"/>
      <c r="W12" s="88" t="str">
        <f t="shared" si="0"/>
        <v/>
      </c>
      <c r="X12" s="88" t="str">
        <f t="shared" si="1"/>
        <v/>
      </c>
      <c r="Y12" s="119"/>
      <c r="Z12" s="119"/>
      <c r="AA12" s="119"/>
      <c r="AB12" s="119"/>
      <c r="AC12" s="51"/>
      <c r="AD12" s="119"/>
      <c r="AF12" s="120"/>
      <c r="AG12" s="119"/>
      <c r="AH12" s="119"/>
      <c r="AI12" s="119"/>
    </row>
    <row r="13" spans="1:36" ht="30" customHeight="1" x14ac:dyDescent="0.4">
      <c r="B13" s="87" t="s">
        <v>111</v>
      </c>
      <c r="C13" s="51" t="s">
        <v>219</v>
      </c>
      <c r="D13" s="51" t="s">
        <v>222</v>
      </c>
      <c r="E13" s="51" t="s">
        <v>112</v>
      </c>
      <c r="F13" s="51"/>
      <c r="G13" s="86"/>
      <c r="H13" s="86"/>
      <c r="I13" s="51"/>
      <c r="J13" s="51"/>
      <c r="K13" s="51"/>
      <c r="L13" s="51"/>
      <c r="M13" s="51"/>
      <c r="N13" s="51"/>
      <c r="O13" s="51"/>
      <c r="P13" s="37"/>
      <c r="Q13" s="51"/>
      <c r="R13" s="51"/>
      <c r="S13" s="51"/>
      <c r="T13" s="51"/>
      <c r="U13" s="51"/>
      <c r="V13" s="119"/>
      <c r="W13" s="88" t="str">
        <f t="shared" si="0"/>
        <v/>
      </c>
      <c r="X13" s="88" t="str">
        <f t="shared" si="1"/>
        <v/>
      </c>
      <c r="Y13" s="119"/>
      <c r="Z13" s="119"/>
      <c r="AA13" s="119"/>
      <c r="AB13" s="119"/>
      <c r="AC13" s="51"/>
      <c r="AD13" s="119"/>
      <c r="AF13" s="120"/>
      <c r="AG13" s="119"/>
      <c r="AH13" s="119"/>
      <c r="AI13" s="119"/>
    </row>
    <row r="14" spans="1:36" ht="30" customHeight="1" x14ac:dyDescent="0.4">
      <c r="B14" s="87" t="s">
        <v>113</v>
      </c>
      <c r="C14" s="51" t="s">
        <v>219</v>
      </c>
      <c r="D14" s="51" t="s">
        <v>222</v>
      </c>
      <c r="E14" s="51" t="s">
        <v>114</v>
      </c>
      <c r="F14" s="51"/>
      <c r="G14" s="86"/>
      <c r="H14" s="86"/>
      <c r="I14" s="51"/>
      <c r="J14" s="51"/>
      <c r="K14" s="51"/>
      <c r="L14" s="51"/>
      <c r="M14" s="51"/>
      <c r="N14" s="51"/>
      <c r="O14" s="51"/>
      <c r="P14" s="37"/>
      <c r="Q14" s="51"/>
      <c r="R14" s="51"/>
      <c r="S14" s="51"/>
      <c r="T14" s="51"/>
      <c r="U14" s="51"/>
      <c r="V14" s="119"/>
      <c r="W14" s="88" t="str">
        <f t="shared" si="0"/>
        <v/>
      </c>
      <c r="X14" s="88" t="str">
        <f t="shared" si="1"/>
        <v/>
      </c>
      <c r="Y14" s="119"/>
      <c r="Z14" s="119"/>
      <c r="AA14" s="119"/>
      <c r="AB14" s="119"/>
      <c r="AC14" s="51"/>
      <c r="AD14" s="119"/>
      <c r="AF14" s="120"/>
      <c r="AG14" s="119"/>
      <c r="AH14" s="119"/>
      <c r="AI14" s="119"/>
    </row>
    <row r="15" spans="1:36" ht="30" customHeight="1" x14ac:dyDescent="0.4">
      <c r="B15" s="87" t="s">
        <v>117</v>
      </c>
      <c r="C15" s="51" t="s">
        <v>219</v>
      </c>
      <c r="D15" s="51" t="s">
        <v>222</v>
      </c>
      <c r="E15" s="51" t="s">
        <v>118</v>
      </c>
      <c r="F15" s="51"/>
      <c r="G15" s="86"/>
      <c r="H15" s="86"/>
      <c r="I15" s="51"/>
      <c r="J15" s="51"/>
      <c r="K15" s="51"/>
      <c r="L15" s="51"/>
      <c r="M15" s="51"/>
      <c r="N15" s="51"/>
      <c r="O15" s="51"/>
      <c r="P15" s="37"/>
      <c r="Q15" s="51"/>
      <c r="R15" s="51"/>
      <c r="S15" s="51"/>
      <c r="T15" s="51"/>
      <c r="U15" s="51"/>
      <c r="V15" s="119"/>
      <c r="W15" s="88" t="str">
        <f t="shared" si="0"/>
        <v/>
      </c>
      <c r="X15" s="88" t="str">
        <f t="shared" si="1"/>
        <v/>
      </c>
      <c r="Y15" s="119"/>
      <c r="Z15" s="119"/>
      <c r="AA15" s="119"/>
      <c r="AB15" s="119"/>
      <c r="AC15" s="51"/>
      <c r="AD15" s="119"/>
      <c r="AF15" s="120"/>
      <c r="AG15" s="119"/>
      <c r="AH15" s="119"/>
      <c r="AI15" s="119"/>
    </row>
    <row r="16" spans="1:36" ht="30" customHeight="1" x14ac:dyDescent="0.4">
      <c r="B16" s="87" t="s">
        <v>120</v>
      </c>
      <c r="C16" s="51" t="s">
        <v>223</v>
      </c>
      <c r="D16" s="51" t="s">
        <v>224</v>
      </c>
      <c r="E16" s="51" t="s">
        <v>121</v>
      </c>
      <c r="F16" s="51"/>
      <c r="G16" s="86"/>
      <c r="H16" s="86"/>
      <c r="I16" s="51"/>
      <c r="J16" s="51"/>
      <c r="K16" s="51"/>
      <c r="L16" s="51"/>
      <c r="M16" s="51"/>
      <c r="N16" s="51"/>
      <c r="O16" s="51"/>
      <c r="P16" s="37"/>
      <c r="Q16" s="51"/>
      <c r="R16" s="51"/>
      <c r="S16" s="51"/>
      <c r="T16" s="51"/>
      <c r="U16" s="51"/>
      <c r="V16" s="119"/>
      <c r="W16" s="88" t="str">
        <f t="shared" si="0"/>
        <v/>
      </c>
      <c r="X16" s="88" t="str">
        <f t="shared" si="1"/>
        <v/>
      </c>
      <c r="Y16" s="119"/>
      <c r="Z16" s="119"/>
      <c r="AA16" s="119"/>
      <c r="AB16" s="119"/>
      <c r="AC16" s="51"/>
      <c r="AD16" s="119"/>
      <c r="AF16" s="120"/>
      <c r="AG16" s="119"/>
      <c r="AH16" s="119"/>
      <c r="AI16" s="119"/>
    </row>
    <row r="17" spans="2:35" ht="30" customHeight="1" x14ac:dyDescent="0.4">
      <c r="B17" s="87" t="s">
        <v>123</v>
      </c>
      <c r="C17" s="51" t="s">
        <v>223</v>
      </c>
      <c r="D17" s="51" t="s">
        <v>224</v>
      </c>
      <c r="E17" s="51" t="s">
        <v>124</v>
      </c>
      <c r="F17" s="51"/>
      <c r="G17" s="86"/>
      <c r="H17" s="86"/>
      <c r="I17" s="51"/>
      <c r="J17" s="51"/>
      <c r="K17" s="51"/>
      <c r="L17" s="51"/>
      <c r="M17" s="51"/>
      <c r="N17" s="51"/>
      <c r="O17" s="51"/>
      <c r="P17" s="37"/>
      <c r="Q17" s="51"/>
      <c r="R17" s="51"/>
      <c r="S17" s="51"/>
      <c r="T17" s="51"/>
      <c r="U17" s="51"/>
      <c r="V17" s="119"/>
      <c r="W17" s="88" t="str">
        <f t="shared" si="0"/>
        <v/>
      </c>
      <c r="X17" s="88" t="str">
        <f t="shared" si="1"/>
        <v/>
      </c>
      <c r="Y17" s="119"/>
      <c r="Z17" s="119"/>
      <c r="AA17" s="119"/>
      <c r="AB17" s="119"/>
      <c r="AC17" s="51"/>
      <c r="AD17" s="119"/>
      <c r="AF17" s="120"/>
      <c r="AG17" s="119"/>
      <c r="AH17" s="119"/>
      <c r="AI17" s="119"/>
    </row>
    <row r="18" spans="2:35" ht="30" customHeight="1" x14ac:dyDescent="0.4">
      <c r="B18" s="87" t="s">
        <v>125</v>
      </c>
      <c r="C18" s="51" t="s">
        <v>223</v>
      </c>
      <c r="D18" s="51" t="s">
        <v>224</v>
      </c>
      <c r="E18" s="51" t="s">
        <v>126</v>
      </c>
      <c r="F18" s="51"/>
      <c r="G18" s="86"/>
      <c r="H18" s="86"/>
      <c r="I18" s="51"/>
      <c r="J18" s="51"/>
      <c r="K18" s="51"/>
      <c r="L18" s="51"/>
      <c r="M18" s="51"/>
      <c r="N18" s="51"/>
      <c r="O18" s="51"/>
      <c r="P18" s="37"/>
      <c r="Q18" s="51"/>
      <c r="R18" s="51"/>
      <c r="S18" s="51"/>
      <c r="T18" s="51"/>
      <c r="U18" s="51"/>
      <c r="V18" s="119"/>
      <c r="W18" s="88" t="str">
        <f t="shared" si="0"/>
        <v/>
      </c>
      <c r="X18" s="88" t="str">
        <f t="shared" si="1"/>
        <v/>
      </c>
      <c r="Y18" s="119"/>
      <c r="Z18" s="119"/>
      <c r="AA18" s="119"/>
      <c r="AB18" s="119"/>
      <c r="AC18" s="51"/>
      <c r="AD18" s="119"/>
      <c r="AF18" s="120"/>
      <c r="AG18" s="119"/>
      <c r="AH18" s="119"/>
      <c r="AI18" s="119"/>
    </row>
    <row r="19" spans="2:35" ht="30" customHeight="1" x14ac:dyDescent="0.4">
      <c r="B19" s="87" t="s">
        <v>127</v>
      </c>
      <c r="C19" s="51" t="s">
        <v>223</v>
      </c>
      <c r="D19" s="51" t="s">
        <v>224</v>
      </c>
      <c r="E19" s="51" t="s">
        <v>128</v>
      </c>
      <c r="F19" s="51"/>
      <c r="G19" s="86"/>
      <c r="H19" s="86"/>
      <c r="I19" s="51"/>
      <c r="J19" s="51"/>
      <c r="K19" s="51"/>
      <c r="L19" s="51"/>
      <c r="M19" s="51"/>
      <c r="N19" s="51"/>
      <c r="O19" s="51"/>
      <c r="P19" s="37"/>
      <c r="Q19" s="51"/>
      <c r="R19" s="51"/>
      <c r="S19" s="51"/>
      <c r="T19" s="51"/>
      <c r="U19" s="51"/>
      <c r="V19" s="119"/>
      <c r="W19" s="88" t="str">
        <f t="shared" si="0"/>
        <v/>
      </c>
      <c r="X19" s="88" t="str">
        <f t="shared" si="1"/>
        <v/>
      </c>
      <c r="Y19" s="119"/>
      <c r="Z19" s="119"/>
      <c r="AA19" s="119"/>
      <c r="AB19" s="119"/>
      <c r="AC19" s="51"/>
      <c r="AD19" s="119"/>
      <c r="AF19" s="120"/>
      <c r="AG19" s="119"/>
      <c r="AH19" s="119"/>
      <c r="AI19" s="119"/>
    </row>
    <row r="20" spans="2:35" ht="30" customHeight="1" x14ac:dyDescent="0.4">
      <c r="B20" s="87" t="s">
        <v>129</v>
      </c>
      <c r="C20" s="51" t="s">
        <v>223</v>
      </c>
      <c r="D20" s="51" t="s">
        <v>225</v>
      </c>
      <c r="E20" s="51" t="s">
        <v>130</v>
      </c>
      <c r="F20" s="51"/>
      <c r="G20" s="86"/>
      <c r="H20" s="86"/>
      <c r="I20" s="51"/>
      <c r="J20" s="51"/>
      <c r="K20" s="51"/>
      <c r="L20" s="51"/>
      <c r="M20" s="51"/>
      <c r="N20" s="51"/>
      <c r="O20" s="51"/>
      <c r="P20" s="37"/>
      <c r="Q20" s="51"/>
      <c r="R20" s="51"/>
      <c r="S20" s="51"/>
      <c r="T20" s="51"/>
      <c r="U20" s="51"/>
      <c r="V20" s="119"/>
      <c r="W20" s="88" t="str">
        <f t="shared" si="0"/>
        <v/>
      </c>
      <c r="X20" s="88" t="str">
        <f t="shared" si="1"/>
        <v/>
      </c>
      <c r="Y20" s="119"/>
      <c r="Z20" s="119"/>
      <c r="AA20" s="119"/>
      <c r="AB20" s="119"/>
      <c r="AC20" s="51"/>
      <c r="AD20" s="119"/>
      <c r="AF20" s="120"/>
      <c r="AG20" s="119"/>
      <c r="AH20" s="119"/>
      <c r="AI20" s="119"/>
    </row>
    <row r="21" spans="2:35" ht="30" customHeight="1" x14ac:dyDescent="0.4">
      <c r="B21" s="87" t="s">
        <v>131</v>
      </c>
      <c r="C21" s="51" t="s">
        <v>223</v>
      </c>
      <c r="D21" s="51" t="s">
        <v>225</v>
      </c>
      <c r="E21" s="51" t="s">
        <v>132</v>
      </c>
      <c r="F21" s="51"/>
      <c r="G21" s="86"/>
      <c r="H21" s="86"/>
      <c r="I21" s="51"/>
      <c r="J21" s="51"/>
      <c r="K21" s="51"/>
      <c r="L21" s="51"/>
      <c r="M21" s="51"/>
      <c r="N21" s="51"/>
      <c r="O21" s="51"/>
      <c r="P21" s="37"/>
      <c r="Q21" s="51"/>
      <c r="R21" s="51"/>
      <c r="S21" s="51"/>
      <c r="T21" s="51"/>
      <c r="U21" s="51"/>
      <c r="V21" s="119"/>
      <c r="W21" s="88" t="str">
        <f t="shared" si="0"/>
        <v/>
      </c>
      <c r="X21" s="88" t="str">
        <f t="shared" si="1"/>
        <v/>
      </c>
      <c r="Y21" s="119"/>
      <c r="Z21" s="119"/>
      <c r="AA21" s="119"/>
      <c r="AB21" s="119"/>
      <c r="AC21" s="51"/>
      <c r="AD21" s="119"/>
      <c r="AF21" s="120"/>
      <c r="AG21" s="119"/>
      <c r="AH21" s="119"/>
      <c r="AI21" s="119"/>
    </row>
    <row r="22" spans="2:35" ht="30" customHeight="1" x14ac:dyDescent="0.4">
      <c r="B22" s="87" t="s">
        <v>133</v>
      </c>
      <c r="C22" s="51" t="s">
        <v>223</v>
      </c>
      <c r="D22" s="51" t="s">
        <v>226</v>
      </c>
      <c r="E22" s="51" t="s">
        <v>135</v>
      </c>
      <c r="F22" s="51"/>
      <c r="G22" s="86"/>
      <c r="H22" s="86"/>
      <c r="I22" s="51"/>
      <c r="J22" s="51"/>
      <c r="K22" s="51"/>
      <c r="L22" s="51"/>
      <c r="M22" s="51"/>
      <c r="N22" s="51"/>
      <c r="O22" s="51"/>
      <c r="P22" s="37"/>
      <c r="Q22" s="51"/>
      <c r="R22" s="51"/>
      <c r="S22" s="51"/>
      <c r="T22" s="51"/>
      <c r="U22" s="51"/>
      <c r="V22" s="119"/>
      <c r="W22" s="88" t="str">
        <f t="shared" si="0"/>
        <v/>
      </c>
      <c r="X22" s="88" t="str">
        <f t="shared" si="1"/>
        <v/>
      </c>
      <c r="Y22" s="119"/>
      <c r="Z22" s="119"/>
      <c r="AA22" s="119"/>
      <c r="AB22" s="119"/>
      <c r="AC22" s="51"/>
      <c r="AD22" s="119"/>
      <c r="AF22" s="120"/>
      <c r="AG22" s="119"/>
      <c r="AH22" s="119"/>
      <c r="AI22" s="119"/>
    </row>
    <row r="23" spans="2:35" ht="30" customHeight="1" x14ac:dyDescent="0.4">
      <c r="B23" s="87" t="s">
        <v>136</v>
      </c>
      <c r="C23" s="51" t="s">
        <v>223</v>
      </c>
      <c r="D23" s="51" t="s">
        <v>226</v>
      </c>
      <c r="E23" s="51" t="s">
        <v>137</v>
      </c>
      <c r="F23" s="51"/>
      <c r="G23" s="86"/>
      <c r="H23" s="86"/>
      <c r="I23" s="51"/>
      <c r="J23" s="51"/>
      <c r="K23" s="51"/>
      <c r="L23" s="51"/>
      <c r="M23" s="51"/>
      <c r="N23" s="51"/>
      <c r="O23" s="51"/>
      <c r="P23" s="37"/>
      <c r="Q23" s="51"/>
      <c r="R23" s="51"/>
      <c r="S23" s="51"/>
      <c r="T23" s="51"/>
      <c r="U23" s="51"/>
      <c r="V23" s="119"/>
      <c r="W23" s="88" t="str">
        <f t="shared" si="0"/>
        <v/>
      </c>
      <c r="X23" s="88" t="str">
        <f t="shared" si="1"/>
        <v/>
      </c>
      <c r="Y23" s="119"/>
      <c r="Z23" s="119"/>
      <c r="AA23" s="119"/>
      <c r="AB23" s="119"/>
      <c r="AC23" s="51"/>
      <c r="AD23" s="119"/>
      <c r="AF23" s="120"/>
      <c r="AG23" s="119"/>
      <c r="AH23" s="119"/>
      <c r="AI23" s="119"/>
    </row>
    <row r="24" spans="2:35" ht="30" customHeight="1" x14ac:dyDescent="0.4">
      <c r="B24" s="87" t="s">
        <v>138</v>
      </c>
      <c r="C24" s="51" t="s">
        <v>219</v>
      </c>
      <c r="D24" s="51" t="s">
        <v>222</v>
      </c>
      <c r="E24" s="51" t="s">
        <v>139</v>
      </c>
      <c r="F24" s="51"/>
      <c r="G24" s="86"/>
      <c r="H24" s="86"/>
      <c r="I24" s="51"/>
      <c r="J24" s="51"/>
      <c r="K24" s="51"/>
      <c r="L24" s="51"/>
      <c r="M24" s="51"/>
      <c r="N24" s="51"/>
      <c r="O24" s="51"/>
      <c r="P24" s="37"/>
      <c r="Q24" s="51"/>
      <c r="R24" s="51"/>
      <c r="S24" s="51"/>
      <c r="T24" s="51"/>
      <c r="U24" s="51"/>
      <c r="V24" s="119"/>
      <c r="W24" s="88" t="str">
        <f t="shared" si="0"/>
        <v/>
      </c>
      <c r="X24" s="88" t="str">
        <f t="shared" si="1"/>
        <v/>
      </c>
      <c r="Y24" s="119"/>
      <c r="Z24" s="119"/>
      <c r="AA24" s="119"/>
      <c r="AB24" s="119"/>
      <c r="AC24" s="51"/>
      <c r="AD24" s="119"/>
      <c r="AF24" s="120"/>
      <c r="AG24" s="119"/>
      <c r="AH24" s="119"/>
      <c r="AI24" s="119"/>
    </row>
    <row r="25" spans="2:35" ht="30" customHeight="1" x14ac:dyDescent="0.4">
      <c r="B25" s="87" t="s">
        <v>140</v>
      </c>
      <c r="C25" s="51" t="s">
        <v>219</v>
      </c>
      <c r="D25" s="51" t="s">
        <v>222</v>
      </c>
      <c r="E25" s="51" t="s">
        <v>141</v>
      </c>
      <c r="F25" s="51"/>
      <c r="G25" s="86"/>
      <c r="H25" s="86"/>
      <c r="I25" s="51"/>
      <c r="J25" s="51"/>
      <c r="K25" s="51"/>
      <c r="L25" s="51"/>
      <c r="M25" s="51"/>
      <c r="N25" s="51"/>
      <c r="O25" s="51"/>
      <c r="P25" s="37"/>
      <c r="Q25" s="51"/>
      <c r="R25" s="51"/>
      <c r="S25" s="51"/>
      <c r="T25" s="51"/>
      <c r="U25" s="51"/>
      <c r="V25" s="119"/>
      <c r="W25" s="88" t="str">
        <f t="shared" si="0"/>
        <v/>
      </c>
      <c r="X25" s="88" t="str">
        <f t="shared" si="1"/>
        <v/>
      </c>
      <c r="Y25" s="119"/>
      <c r="Z25" s="119"/>
      <c r="AA25" s="119"/>
      <c r="AB25" s="119"/>
      <c r="AC25" s="51"/>
      <c r="AD25" s="119"/>
      <c r="AF25" s="120"/>
      <c r="AG25" s="119"/>
      <c r="AH25" s="119"/>
      <c r="AI25" s="119"/>
    </row>
    <row r="26" spans="2:35" ht="30" customHeight="1" x14ac:dyDescent="0.4">
      <c r="B26" s="87" t="s">
        <v>142</v>
      </c>
      <c r="C26" s="51" t="s">
        <v>223</v>
      </c>
      <c r="D26" s="51" t="s">
        <v>224</v>
      </c>
      <c r="E26" s="51" t="s">
        <v>143</v>
      </c>
      <c r="F26" s="51"/>
      <c r="G26" s="86"/>
      <c r="H26" s="86"/>
      <c r="I26" s="51"/>
      <c r="J26" s="51"/>
      <c r="K26" s="51"/>
      <c r="L26" s="51"/>
      <c r="M26" s="51"/>
      <c r="N26" s="51"/>
      <c r="O26" s="51"/>
      <c r="P26" s="37"/>
      <c r="Q26" s="51"/>
      <c r="R26" s="51"/>
      <c r="S26" s="51"/>
      <c r="T26" s="51"/>
      <c r="U26" s="51"/>
      <c r="V26" s="119"/>
      <c r="W26" s="88" t="str">
        <f t="shared" si="0"/>
        <v/>
      </c>
      <c r="X26" s="88" t="str">
        <f t="shared" si="1"/>
        <v/>
      </c>
      <c r="Y26" s="119"/>
      <c r="Z26" s="119"/>
      <c r="AA26" s="119"/>
      <c r="AB26" s="119"/>
      <c r="AC26" s="51"/>
      <c r="AD26" s="119"/>
      <c r="AF26" s="120"/>
      <c r="AG26" s="119"/>
      <c r="AH26" s="119"/>
      <c r="AI26" s="119"/>
    </row>
    <row r="27" spans="2:35" ht="30" customHeight="1" x14ac:dyDescent="0.4">
      <c r="B27" s="87" t="s">
        <v>144</v>
      </c>
      <c r="C27" s="51" t="s">
        <v>227</v>
      </c>
      <c r="D27" s="51" t="s">
        <v>228</v>
      </c>
      <c r="E27" s="51" t="s">
        <v>145</v>
      </c>
      <c r="F27" s="51"/>
      <c r="G27" s="86"/>
      <c r="H27" s="86"/>
      <c r="I27" s="51"/>
      <c r="J27" s="51"/>
      <c r="K27" s="51"/>
      <c r="L27" s="51"/>
      <c r="M27" s="51"/>
      <c r="N27" s="51"/>
      <c r="O27" s="51"/>
      <c r="P27" s="37"/>
      <c r="Q27" s="51"/>
      <c r="R27" s="51"/>
      <c r="S27" s="51"/>
      <c r="T27" s="51"/>
      <c r="U27" s="51"/>
      <c r="V27" s="119"/>
      <c r="W27" s="88" t="str">
        <f t="shared" si="0"/>
        <v/>
      </c>
      <c r="X27" s="88" t="str">
        <f t="shared" si="1"/>
        <v/>
      </c>
      <c r="Y27" s="119"/>
      <c r="Z27" s="119"/>
      <c r="AA27" s="119"/>
      <c r="AB27" s="119"/>
      <c r="AC27" s="51"/>
      <c r="AD27" s="119"/>
      <c r="AF27" s="120"/>
      <c r="AG27" s="119"/>
      <c r="AH27" s="119"/>
      <c r="AI27" s="119"/>
    </row>
    <row r="28" spans="2:35" ht="30" customHeight="1" x14ac:dyDescent="0.4">
      <c r="B28" s="87" t="s">
        <v>146</v>
      </c>
      <c r="C28" s="51" t="s">
        <v>227</v>
      </c>
      <c r="D28" s="51" t="s">
        <v>229</v>
      </c>
      <c r="E28" s="51" t="s">
        <v>147</v>
      </c>
      <c r="F28" s="51"/>
      <c r="G28" s="86"/>
      <c r="H28" s="86"/>
      <c r="I28" s="51"/>
      <c r="J28" s="51"/>
      <c r="K28" s="51"/>
      <c r="L28" s="51"/>
      <c r="M28" s="51"/>
      <c r="N28" s="51"/>
      <c r="O28" s="51"/>
      <c r="P28" s="37"/>
      <c r="Q28" s="51"/>
      <c r="R28" s="51"/>
      <c r="S28" s="51"/>
      <c r="T28" s="51"/>
      <c r="U28" s="51"/>
      <c r="V28" s="119"/>
      <c r="W28" s="88" t="str">
        <f t="shared" si="0"/>
        <v/>
      </c>
      <c r="X28" s="88" t="str">
        <f t="shared" si="1"/>
        <v/>
      </c>
      <c r="Y28" s="119"/>
      <c r="Z28" s="119"/>
      <c r="AA28" s="119"/>
      <c r="AB28" s="119"/>
      <c r="AC28" s="51"/>
      <c r="AD28" s="119"/>
      <c r="AF28" s="120"/>
      <c r="AG28" s="119"/>
      <c r="AH28" s="119"/>
      <c r="AI28" s="119"/>
    </row>
    <row r="29" spans="2:35" ht="30" customHeight="1" x14ac:dyDescent="0.4">
      <c r="B29" s="87" t="s">
        <v>148</v>
      </c>
      <c r="C29" s="51" t="s">
        <v>227</v>
      </c>
      <c r="D29" s="51" t="s">
        <v>230</v>
      </c>
      <c r="E29" s="51" t="s">
        <v>149</v>
      </c>
      <c r="F29" s="51"/>
      <c r="G29" s="86"/>
      <c r="H29" s="86"/>
      <c r="I29" s="51"/>
      <c r="J29" s="51"/>
      <c r="K29" s="51"/>
      <c r="L29" s="51"/>
      <c r="M29" s="51"/>
      <c r="N29" s="51"/>
      <c r="O29" s="51"/>
      <c r="P29" s="37"/>
      <c r="Q29" s="51"/>
      <c r="R29" s="51"/>
      <c r="S29" s="51"/>
      <c r="T29" s="51"/>
      <c r="U29" s="51"/>
      <c r="V29" s="119"/>
      <c r="W29" s="88" t="str">
        <f t="shared" si="0"/>
        <v/>
      </c>
      <c r="X29" s="88" t="str">
        <f t="shared" si="1"/>
        <v/>
      </c>
      <c r="Y29" s="119"/>
      <c r="Z29" s="119"/>
      <c r="AA29" s="119"/>
      <c r="AB29" s="119"/>
      <c r="AC29" s="51"/>
      <c r="AD29" s="119"/>
      <c r="AF29" s="120"/>
      <c r="AG29" s="119"/>
      <c r="AH29" s="119"/>
      <c r="AI29" s="119"/>
    </row>
    <row r="30" spans="2:35" ht="30" customHeight="1" x14ac:dyDescent="0.4">
      <c r="B30" s="87" t="s">
        <v>150</v>
      </c>
      <c r="C30" s="51" t="s">
        <v>219</v>
      </c>
      <c r="D30" s="51" t="s">
        <v>220</v>
      </c>
      <c r="E30" s="51" t="s">
        <v>151</v>
      </c>
      <c r="F30" s="51"/>
      <c r="G30" s="86"/>
      <c r="H30" s="86"/>
      <c r="I30" s="51"/>
      <c r="J30" s="51"/>
      <c r="K30" s="51"/>
      <c r="L30" s="51"/>
      <c r="M30" s="51"/>
      <c r="N30" s="51"/>
      <c r="O30" s="51"/>
      <c r="P30" s="37"/>
      <c r="Q30" s="51"/>
      <c r="R30" s="51"/>
      <c r="S30" s="51"/>
      <c r="T30" s="51"/>
      <c r="U30" s="51"/>
      <c r="V30" s="119"/>
      <c r="W30" s="88" t="str">
        <f t="shared" si="0"/>
        <v/>
      </c>
      <c r="X30" s="88" t="str">
        <f t="shared" si="1"/>
        <v/>
      </c>
      <c r="Y30" s="119"/>
      <c r="Z30" s="119"/>
      <c r="AA30" s="119"/>
      <c r="AB30" s="119"/>
      <c r="AC30" s="51"/>
      <c r="AD30" s="119"/>
      <c r="AF30" s="120"/>
      <c r="AG30" s="119"/>
      <c r="AH30" s="119"/>
      <c r="AI30" s="119"/>
    </row>
    <row r="31" spans="2:35" ht="30" customHeight="1" x14ac:dyDescent="0.4">
      <c r="B31" s="87" t="s">
        <v>152</v>
      </c>
      <c r="C31" s="51" t="s">
        <v>219</v>
      </c>
      <c r="D31" s="51" t="s">
        <v>222</v>
      </c>
      <c r="E31" s="51" t="s">
        <v>153</v>
      </c>
      <c r="F31" s="51"/>
      <c r="G31" s="86"/>
      <c r="H31" s="86"/>
      <c r="I31" s="51"/>
      <c r="J31" s="51"/>
      <c r="K31" s="51"/>
      <c r="L31" s="51"/>
      <c r="M31" s="51"/>
      <c r="N31" s="51"/>
      <c r="O31" s="51"/>
      <c r="P31" s="37"/>
      <c r="Q31" s="51"/>
      <c r="R31" s="51"/>
      <c r="S31" s="51"/>
      <c r="T31" s="51"/>
      <c r="U31" s="51"/>
      <c r="V31" s="119"/>
      <c r="W31" s="88" t="str">
        <f t="shared" si="0"/>
        <v/>
      </c>
      <c r="X31" s="88" t="str">
        <f t="shared" si="1"/>
        <v/>
      </c>
      <c r="Y31" s="119"/>
      <c r="Z31" s="119"/>
      <c r="AA31" s="119"/>
      <c r="AB31" s="119"/>
      <c r="AC31" s="51"/>
      <c r="AD31" s="119"/>
      <c r="AF31" s="120"/>
      <c r="AG31" s="119"/>
      <c r="AH31" s="119"/>
      <c r="AI31" s="119"/>
    </row>
    <row r="32" spans="2:35" ht="30" customHeight="1" x14ac:dyDescent="0.4">
      <c r="B32" s="87" t="s">
        <v>154</v>
      </c>
      <c r="C32" s="51" t="s">
        <v>223</v>
      </c>
      <c r="D32" s="51" t="s">
        <v>224</v>
      </c>
      <c r="E32" s="51" t="s">
        <v>155</v>
      </c>
      <c r="F32" s="51"/>
      <c r="G32" s="86"/>
      <c r="H32" s="86"/>
      <c r="I32" s="51"/>
      <c r="J32" s="51"/>
      <c r="K32" s="51"/>
      <c r="L32" s="51"/>
      <c r="M32" s="51"/>
      <c r="N32" s="51"/>
      <c r="O32" s="51"/>
      <c r="P32" s="37"/>
      <c r="Q32" s="51"/>
      <c r="R32" s="51"/>
      <c r="S32" s="51"/>
      <c r="T32" s="51"/>
      <c r="U32" s="51"/>
      <c r="V32" s="119"/>
      <c r="W32" s="88" t="str">
        <f t="shared" si="0"/>
        <v/>
      </c>
      <c r="X32" s="88" t="str">
        <f t="shared" si="1"/>
        <v/>
      </c>
      <c r="Y32" s="119"/>
      <c r="Z32" s="119"/>
      <c r="AA32" s="119"/>
      <c r="AB32" s="119"/>
      <c r="AC32" s="51"/>
      <c r="AD32" s="119"/>
      <c r="AF32" s="120"/>
      <c r="AG32" s="119"/>
      <c r="AH32" s="119"/>
      <c r="AI32" s="119"/>
    </row>
    <row r="33" spans="2:35" ht="30" customHeight="1" x14ac:dyDescent="0.4">
      <c r="B33" s="87" t="s">
        <v>156</v>
      </c>
      <c r="C33" s="51" t="s">
        <v>223</v>
      </c>
      <c r="D33" s="51" t="s">
        <v>224</v>
      </c>
      <c r="E33" s="51" t="s">
        <v>157</v>
      </c>
      <c r="F33" s="51"/>
      <c r="G33" s="86"/>
      <c r="H33" s="86"/>
      <c r="I33" s="51"/>
      <c r="J33" s="51"/>
      <c r="K33" s="51"/>
      <c r="L33" s="51"/>
      <c r="M33" s="51"/>
      <c r="N33" s="51"/>
      <c r="O33" s="51"/>
      <c r="P33" s="37"/>
      <c r="Q33" s="51"/>
      <c r="R33" s="51"/>
      <c r="S33" s="51"/>
      <c r="T33" s="51"/>
      <c r="U33" s="51"/>
      <c r="V33" s="119"/>
      <c r="W33" s="88" t="str">
        <f t="shared" si="0"/>
        <v/>
      </c>
      <c r="X33" s="88" t="str">
        <f t="shared" si="1"/>
        <v/>
      </c>
      <c r="Y33" s="119"/>
      <c r="Z33" s="119"/>
      <c r="AA33" s="119"/>
      <c r="AB33" s="119"/>
      <c r="AC33" s="51"/>
      <c r="AD33" s="119"/>
      <c r="AF33" s="120"/>
      <c r="AG33" s="119"/>
      <c r="AH33" s="119"/>
      <c r="AI33" s="119"/>
    </row>
    <row r="34" spans="2:35" ht="30" customHeight="1" x14ac:dyDescent="0.4">
      <c r="B34" s="87" t="s">
        <v>158</v>
      </c>
      <c r="C34" s="51" t="s">
        <v>223</v>
      </c>
      <c r="D34" s="51" t="s">
        <v>225</v>
      </c>
      <c r="E34" s="51" t="s">
        <v>159</v>
      </c>
      <c r="F34" s="51"/>
      <c r="G34" s="86"/>
      <c r="H34" s="86"/>
      <c r="I34" s="51"/>
      <c r="J34" s="51"/>
      <c r="K34" s="51"/>
      <c r="L34" s="51"/>
      <c r="M34" s="51"/>
      <c r="N34" s="51"/>
      <c r="O34" s="51"/>
      <c r="P34" s="37"/>
      <c r="Q34" s="51"/>
      <c r="R34" s="51"/>
      <c r="S34" s="51"/>
      <c r="T34" s="51"/>
      <c r="U34" s="51"/>
      <c r="V34" s="119"/>
      <c r="W34" s="88" t="str">
        <f t="shared" si="0"/>
        <v/>
      </c>
      <c r="X34" s="88" t="str">
        <f t="shared" si="1"/>
        <v/>
      </c>
      <c r="Y34" s="119"/>
      <c r="Z34" s="119"/>
      <c r="AA34" s="119"/>
      <c r="AB34" s="119"/>
      <c r="AC34" s="51"/>
      <c r="AD34" s="119"/>
      <c r="AF34" s="120"/>
      <c r="AG34" s="119"/>
      <c r="AH34" s="119"/>
      <c r="AI34" s="119"/>
    </row>
    <row r="35" spans="2:35" ht="30" customHeight="1" x14ac:dyDescent="0.4">
      <c r="B35" s="87" t="s">
        <v>160</v>
      </c>
      <c r="C35" s="51" t="s">
        <v>219</v>
      </c>
      <c r="D35" s="51" t="s">
        <v>222</v>
      </c>
      <c r="E35" s="51" t="s">
        <v>161</v>
      </c>
      <c r="F35" s="51"/>
      <c r="G35" s="86"/>
      <c r="H35" s="86"/>
      <c r="I35" s="51"/>
      <c r="J35" s="51"/>
      <c r="K35" s="51"/>
      <c r="L35" s="51"/>
      <c r="M35" s="51"/>
      <c r="N35" s="51"/>
      <c r="O35" s="51"/>
      <c r="P35" s="37"/>
      <c r="Q35" s="51"/>
      <c r="R35" s="51"/>
      <c r="S35" s="51"/>
      <c r="T35" s="51"/>
      <c r="U35" s="51"/>
      <c r="V35" s="119"/>
      <c r="W35" s="88" t="str">
        <f t="shared" si="0"/>
        <v/>
      </c>
      <c r="X35" s="88" t="str">
        <f t="shared" si="1"/>
        <v/>
      </c>
      <c r="Y35" s="119"/>
      <c r="Z35" s="119"/>
      <c r="AA35" s="119"/>
      <c r="AB35" s="119"/>
      <c r="AC35" s="51"/>
      <c r="AD35" s="119"/>
      <c r="AF35" s="120"/>
      <c r="AG35" s="119"/>
      <c r="AH35" s="119"/>
      <c r="AI35" s="119"/>
    </row>
    <row r="36" spans="2:35" ht="30" customHeight="1" x14ac:dyDescent="0.4">
      <c r="B36" s="87" t="s">
        <v>162</v>
      </c>
      <c r="C36" s="51" t="s">
        <v>223</v>
      </c>
      <c r="D36" s="51" t="s">
        <v>226</v>
      </c>
      <c r="E36" s="51" t="s">
        <v>163</v>
      </c>
      <c r="F36" s="51"/>
      <c r="G36" s="86"/>
      <c r="H36" s="86"/>
      <c r="I36" s="51"/>
      <c r="J36" s="51"/>
      <c r="K36" s="51"/>
      <c r="L36" s="51"/>
      <c r="M36" s="51"/>
      <c r="N36" s="51"/>
      <c r="O36" s="51"/>
      <c r="P36" s="37"/>
      <c r="Q36" s="51"/>
      <c r="R36" s="51"/>
      <c r="S36" s="51"/>
      <c r="T36" s="51"/>
      <c r="U36" s="51"/>
      <c r="V36" s="119"/>
      <c r="W36" s="88" t="str">
        <f t="shared" si="0"/>
        <v/>
      </c>
      <c r="X36" s="88" t="str">
        <f t="shared" si="1"/>
        <v/>
      </c>
      <c r="Y36" s="119"/>
      <c r="Z36" s="119"/>
      <c r="AA36" s="119"/>
      <c r="AB36" s="119"/>
      <c r="AC36" s="51"/>
      <c r="AD36" s="119"/>
      <c r="AF36" s="120"/>
      <c r="AG36" s="119"/>
      <c r="AH36" s="119"/>
      <c r="AI36" s="119"/>
    </row>
    <row r="37" spans="2:35" ht="30" customHeight="1" x14ac:dyDescent="0.4">
      <c r="B37" s="87" t="s">
        <v>164</v>
      </c>
      <c r="C37" s="51" t="s">
        <v>219</v>
      </c>
      <c r="D37" s="51" t="s">
        <v>221</v>
      </c>
      <c r="E37" s="51" t="s">
        <v>165</v>
      </c>
      <c r="F37" s="51"/>
      <c r="G37" s="86"/>
      <c r="H37" s="86"/>
      <c r="I37" s="51"/>
      <c r="J37" s="51"/>
      <c r="K37" s="51"/>
      <c r="L37" s="51"/>
      <c r="M37" s="51"/>
      <c r="N37" s="51"/>
      <c r="O37" s="51"/>
      <c r="P37" s="37"/>
      <c r="Q37" s="51"/>
      <c r="R37" s="51"/>
      <c r="S37" s="51"/>
      <c r="T37" s="51"/>
      <c r="U37" s="51"/>
      <c r="V37" s="119"/>
      <c r="W37" s="88" t="str">
        <f t="shared" si="0"/>
        <v/>
      </c>
      <c r="X37" s="88" t="str">
        <f t="shared" si="1"/>
        <v/>
      </c>
      <c r="Y37" s="119"/>
      <c r="Z37" s="119"/>
      <c r="AA37" s="119"/>
      <c r="AB37" s="119"/>
      <c r="AC37" s="51"/>
      <c r="AD37" s="119"/>
      <c r="AF37" s="120"/>
      <c r="AG37" s="119"/>
      <c r="AH37" s="119"/>
      <c r="AI37" s="119"/>
    </row>
    <row r="38" spans="2:35" ht="30" customHeight="1" x14ac:dyDescent="0.4">
      <c r="B38" s="87" t="s">
        <v>166</v>
      </c>
      <c r="C38" s="51" t="s">
        <v>219</v>
      </c>
      <c r="D38" s="51" t="s">
        <v>222</v>
      </c>
      <c r="E38" s="51" t="s">
        <v>167</v>
      </c>
      <c r="F38" s="51"/>
      <c r="G38" s="86"/>
      <c r="H38" s="86"/>
      <c r="I38" s="51"/>
      <c r="J38" s="51"/>
      <c r="K38" s="51"/>
      <c r="L38" s="51"/>
      <c r="M38" s="51"/>
      <c r="N38" s="51"/>
      <c r="O38" s="51"/>
      <c r="P38" s="37"/>
      <c r="Q38" s="51"/>
      <c r="R38" s="51"/>
      <c r="S38" s="51"/>
      <c r="T38" s="51"/>
      <c r="U38" s="51"/>
      <c r="V38" s="119"/>
      <c r="W38" s="88" t="str">
        <f t="shared" si="0"/>
        <v/>
      </c>
      <c r="X38" s="88" t="str">
        <f t="shared" si="1"/>
        <v/>
      </c>
      <c r="Y38" s="119"/>
      <c r="Z38" s="119"/>
      <c r="AA38" s="119"/>
      <c r="AB38" s="119"/>
      <c r="AC38" s="51"/>
      <c r="AD38" s="119"/>
      <c r="AF38" s="120"/>
      <c r="AG38" s="119"/>
      <c r="AH38" s="119"/>
      <c r="AI38" s="119"/>
    </row>
    <row r="39" spans="2:35" ht="30" customHeight="1" x14ac:dyDescent="0.4">
      <c r="B39" s="87" t="s">
        <v>168</v>
      </c>
      <c r="C39" s="51" t="s">
        <v>227</v>
      </c>
      <c r="D39" s="51" t="s">
        <v>228</v>
      </c>
      <c r="E39" s="51" t="s">
        <v>169</v>
      </c>
      <c r="F39" s="51"/>
      <c r="G39" s="86"/>
      <c r="H39" s="86"/>
      <c r="I39" s="51"/>
      <c r="J39" s="51"/>
      <c r="K39" s="51"/>
      <c r="L39" s="51"/>
      <c r="M39" s="51"/>
      <c r="N39" s="51"/>
      <c r="O39" s="51"/>
      <c r="P39" s="37"/>
      <c r="Q39" s="51"/>
      <c r="R39" s="51"/>
      <c r="S39" s="51"/>
      <c r="T39" s="51"/>
      <c r="U39" s="51"/>
      <c r="V39" s="119"/>
      <c r="W39" s="88" t="str">
        <f t="shared" si="0"/>
        <v/>
      </c>
      <c r="X39" s="88" t="str">
        <f t="shared" si="1"/>
        <v/>
      </c>
      <c r="Y39" s="119"/>
      <c r="Z39" s="119"/>
      <c r="AA39" s="119"/>
      <c r="AB39" s="119"/>
      <c r="AC39" s="51"/>
      <c r="AD39" s="119"/>
      <c r="AF39" s="120"/>
      <c r="AG39" s="119"/>
      <c r="AH39" s="119"/>
      <c r="AI39" s="119"/>
    </row>
    <row r="40" spans="2:35" ht="30" customHeight="1" x14ac:dyDescent="0.4">
      <c r="B40" s="87" t="s">
        <v>170</v>
      </c>
      <c r="C40" s="51" t="s">
        <v>227</v>
      </c>
      <c r="D40" s="51" t="s">
        <v>229</v>
      </c>
      <c r="E40" s="51" t="s">
        <v>171</v>
      </c>
      <c r="F40" s="51"/>
      <c r="G40" s="86"/>
      <c r="H40" s="86"/>
      <c r="I40" s="51"/>
      <c r="J40" s="51"/>
      <c r="K40" s="51"/>
      <c r="L40" s="51"/>
      <c r="M40" s="51"/>
      <c r="N40" s="51"/>
      <c r="O40" s="51"/>
      <c r="P40" s="37"/>
      <c r="Q40" s="51"/>
      <c r="R40" s="51"/>
      <c r="S40" s="51"/>
      <c r="T40" s="51"/>
      <c r="U40" s="51"/>
      <c r="V40" s="119"/>
      <c r="W40" s="88" t="str">
        <f t="shared" si="0"/>
        <v/>
      </c>
      <c r="X40" s="88" t="str">
        <f t="shared" si="1"/>
        <v/>
      </c>
      <c r="Y40" s="119"/>
      <c r="Z40" s="119"/>
      <c r="AA40" s="119"/>
      <c r="AB40" s="119"/>
      <c r="AC40" s="51"/>
      <c r="AD40" s="119"/>
      <c r="AF40" s="120"/>
      <c r="AG40" s="119"/>
      <c r="AH40" s="119"/>
      <c r="AI40" s="119"/>
    </row>
    <row r="41" spans="2:35" ht="30" customHeight="1" x14ac:dyDescent="0.4">
      <c r="B41" s="87" t="s">
        <v>172</v>
      </c>
      <c r="C41" s="51" t="s">
        <v>223</v>
      </c>
      <c r="D41" s="51" t="s">
        <v>224</v>
      </c>
      <c r="E41" s="51" t="s">
        <v>173</v>
      </c>
      <c r="F41" s="51"/>
      <c r="G41" s="86"/>
      <c r="H41" s="86"/>
      <c r="I41" s="51"/>
      <c r="J41" s="51"/>
      <c r="K41" s="51"/>
      <c r="L41" s="51"/>
      <c r="M41" s="51"/>
      <c r="N41" s="51"/>
      <c r="O41" s="51"/>
      <c r="P41" s="37"/>
      <c r="Q41" s="51"/>
      <c r="R41" s="51"/>
      <c r="S41" s="51"/>
      <c r="T41" s="51"/>
      <c r="U41" s="51"/>
      <c r="V41" s="119"/>
      <c r="W41" s="88" t="str">
        <f t="shared" si="0"/>
        <v/>
      </c>
      <c r="X41" s="88" t="str">
        <f t="shared" si="1"/>
        <v/>
      </c>
      <c r="Y41" s="119"/>
      <c r="Z41" s="119"/>
      <c r="AA41" s="119"/>
      <c r="AB41" s="119"/>
      <c r="AC41" s="51"/>
      <c r="AD41" s="119"/>
      <c r="AF41" s="120"/>
      <c r="AG41" s="119"/>
      <c r="AH41" s="119"/>
      <c r="AI41" s="119"/>
    </row>
    <row r="42" spans="2:35" ht="30" customHeight="1" x14ac:dyDescent="0.4">
      <c r="B42" s="87" t="s">
        <v>174</v>
      </c>
      <c r="C42" s="51" t="s">
        <v>219</v>
      </c>
      <c r="D42" s="51" t="s">
        <v>222</v>
      </c>
      <c r="E42" s="51" t="s">
        <v>175</v>
      </c>
      <c r="F42" s="51"/>
      <c r="G42" s="86"/>
      <c r="H42" s="86"/>
      <c r="I42" s="51"/>
      <c r="J42" s="51"/>
      <c r="K42" s="51"/>
      <c r="L42" s="51"/>
      <c r="M42" s="51"/>
      <c r="N42" s="51"/>
      <c r="O42" s="51"/>
      <c r="P42" s="37"/>
      <c r="Q42" s="51"/>
      <c r="R42" s="51"/>
      <c r="S42" s="51"/>
      <c r="T42" s="51"/>
      <c r="U42" s="51"/>
      <c r="V42" s="119"/>
      <c r="W42" s="88" t="str">
        <f t="shared" si="0"/>
        <v/>
      </c>
      <c r="X42" s="88" t="str">
        <f t="shared" si="1"/>
        <v/>
      </c>
      <c r="Y42" s="119"/>
      <c r="Z42" s="119"/>
      <c r="AA42" s="119"/>
      <c r="AB42" s="119"/>
      <c r="AC42" s="51"/>
      <c r="AD42" s="119"/>
      <c r="AF42" s="120"/>
      <c r="AG42" s="119"/>
      <c r="AH42" s="119"/>
      <c r="AI42" s="119"/>
    </row>
    <row r="43" spans="2:35" x14ac:dyDescent="0.4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F43" s="37"/>
      <c r="AG43" s="37"/>
      <c r="AH43" s="37"/>
      <c r="AI43" s="37"/>
    </row>
  </sheetData>
  <autoFilter ref="A6:AG6" xr:uid="{BC152440-A446-49E2-B146-0EB3A31C104E}"/>
  <mergeCells count="31">
    <mergeCell ref="AI5:AI6"/>
    <mergeCell ref="AA5:AA6"/>
    <mergeCell ref="AB5:AB6"/>
    <mergeCell ref="AC5:AD5"/>
    <mergeCell ref="AF5:AF6"/>
    <mergeCell ref="AG5:AG6"/>
    <mergeCell ref="AH5:AH6"/>
    <mergeCell ref="O5:O6"/>
    <mergeCell ref="Q5:V5"/>
    <mergeCell ref="W5:W6"/>
    <mergeCell ref="X5:X6"/>
    <mergeCell ref="Y5:Y6"/>
    <mergeCell ref="Z5:Z6"/>
    <mergeCell ref="H5:H6"/>
    <mergeCell ref="I5:I6"/>
    <mergeCell ref="J5:J6"/>
    <mergeCell ref="K5:L5"/>
    <mergeCell ref="M5:M6"/>
    <mergeCell ref="N5:N6"/>
    <mergeCell ref="B5:B6"/>
    <mergeCell ref="C5:C6"/>
    <mergeCell ref="D5:D6"/>
    <mergeCell ref="E5:E6"/>
    <mergeCell ref="F5:F6"/>
    <mergeCell ref="G5:G6"/>
    <mergeCell ref="B2:I2"/>
    <mergeCell ref="Q2:AD2"/>
    <mergeCell ref="AF2:AI2"/>
    <mergeCell ref="B3:I3"/>
    <mergeCell ref="Q3:AD3"/>
    <mergeCell ref="AF3:AI3"/>
  </mergeCells>
  <phoneticPr fontId="1" type="noConversion"/>
  <conditionalFormatting sqref="G7:O7">
    <cfRule type="expression" dxfId="1" priority="1">
      <formula>OR($G7="No")</formula>
    </cfRule>
    <cfRule type="expression" dxfId="0" priority="2">
      <formula>OR($G7="N/A")</formula>
    </cfRule>
  </conditionalFormatting>
  <dataValidations count="3">
    <dataValidation type="list" allowBlank="1" showInputMessage="1" sqref="AF7:AF42" xr:uid="{EFA5D14A-A383-43F0-8D43-F076AF695F1D}">
      <formula1>"Yes,No,N/A"</formula1>
    </dataValidation>
    <dataValidation type="list" allowBlank="1" showInputMessage="1" showErrorMessage="1" sqref="Q7:U42" xr:uid="{28249171-1F85-4054-8223-C932B7DDF5E7}">
      <formula1>"1,2,3,4,5"</formula1>
    </dataValidation>
    <dataValidation type="list" allowBlank="1" showInputMessage="1" showErrorMessage="1" sqref="F7:F42 AC7:AC42" xr:uid="{405C790F-3692-4957-A51E-CBB9F6928180}">
      <formula1>"Yes,No"</formula1>
    </dataValidation>
  </dataValidations>
  <pageMargins left="0.7" right="0.7" top="0.75" bottom="0.75" header="0.3" footer="0.3"/>
  <pageSetup paperSize="9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3FF6-F4D0-44D9-A49C-A38BFA822CED}">
  <dimension ref="A1:F28"/>
  <sheetViews>
    <sheetView showGridLines="0" view="pageBreakPreview" zoomScale="85" zoomScaleNormal="70" zoomScaleSheetLayoutView="85" workbookViewId="0">
      <selection activeCell="G14" sqref="G14"/>
    </sheetView>
  </sheetViews>
  <sheetFormatPr defaultRowHeight="13.8" x14ac:dyDescent="0.4"/>
  <cols>
    <col min="1" max="1" width="4" style="38" customWidth="1"/>
    <col min="2" max="2" width="15.59765625" style="38" customWidth="1"/>
    <col min="3" max="3" width="55.3984375" style="38" customWidth="1"/>
    <col min="4" max="4" width="15.59765625" style="38" customWidth="1"/>
    <col min="5" max="5" width="52.8984375" style="38" customWidth="1"/>
    <col min="6" max="16384" width="8.796875" style="38"/>
  </cols>
  <sheetData>
    <row r="1" spans="1:6" ht="19.350000000000001" customHeight="1" x14ac:dyDescent="0.4">
      <c r="A1" s="37"/>
      <c r="B1" s="37"/>
      <c r="C1" s="37"/>
      <c r="D1" s="37"/>
      <c r="E1" s="37"/>
      <c r="F1" s="37"/>
    </row>
    <row r="2" spans="1:6" ht="16.2" thickBot="1" x14ac:dyDescent="0.45">
      <c r="A2" s="37"/>
      <c r="B2" s="84" t="s">
        <v>231</v>
      </c>
      <c r="C2" s="37"/>
      <c r="D2" s="37"/>
      <c r="E2" s="37"/>
      <c r="F2" s="37"/>
    </row>
    <row r="3" spans="1:6" x14ac:dyDescent="0.4">
      <c r="A3" s="37"/>
      <c r="B3" s="121" t="s">
        <v>232</v>
      </c>
      <c r="C3" s="122" t="s">
        <v>212</v>
      </c>
      <c r="D3" s="123" t="s">
        <v>233</v>
      </c>
      <c r="E3" s="124" t="s">
        <v>89</v>
      </c>
      <c r="F3" s="37"/>
    </row>
    <row r="4" spans="1:6" x14ac:dyDescent="0.4">
      <c r="A4" s="37"/>
      <c r="B4" s="125" t="s">
        <v>234</v>
      </c>
      <c r="C4" s="86" t="s">
        <v>235</v>
      </c>
      <c r="D4" s="126" t="s">
        <v>236</v>
      </c>
      <c r="E4" s="127" t="s">
        <v>90</v>
      </c>
      <c r="F4" s="37"/>
    </row>
    <row r="5" spans="1:6" ht="14.4" thickBot="1" x14ac:dyDescent="0.45">
      <c r="A5" s="37"/>
      <c r="B5" s="128" t="s">
        <v>237</v>
      </c>
      <c r="C5" s="129" t="s">
        <v>213</v>
      </c>
      <c r="D5" s="130" t="s">
        <v>238</v>
      </c>
      <c r="E5" s="131" t="s">
        <v>211</v>
      </c>
      <c r="F5" s="37"/>
    </row>
    <row r="6" spans="1:6" ht="8.4" customHeight="1" thickBot="1" x14ac:dyDescent="0.45">
      <c r="A6" s="37"/>
      <c r="B6" s="132"/>
      <c r="C6" s="37"/>
      <c r="D6" s="133"/>
      <c r="E6" s="37"/>
      <c r="F6" s="37"/>
    </row>
    <row r="7" spans="1:6" ht="34.799999999999997" customHeight="1" x14ac:dyDescent="0.4">
      <c r="A7" s="37"/>
      <c r="B7" s="121" t="s">
        <v>239</v>
      </c>
      <c r="C7" s="122" t="s">
        <v>214</v>
      </c>
      <c r="D7" s="134" t="s">
        <v>191</v>
      </c>
      <c r="E7" s="135" t="s">
        <v>217</v>
      </c>
      <c r="F7" s="37"/>
    </row>
    <row r="8" spans="1:6" x14ac:dyDescent="0.4">
      <c r="A8" s="37"/>
      <c r="B8" s="125" t="s">
        <v>204</v>
      </c>
      <c r="C8" s="86" t="s">
        <v>215</v>
      </c>
      <c r="D8" s="136"/>
      <c r="E8" s="137"/>
      <c r="F8" s="37"/>
    </row>
    <row r="9" spans="1:6" x14ac:dyDescent="0.4">
      <c r="A9" s="37"/>
      <c r="B9" s="125" t="s">
        <v>190</v>
      </c>
      <c r="C9" s="86" t="s">
        <v>216</v>
      </c>
      <c r="D9" s="138"/>
      <c r="E9" s="139"/>
      <c r="F9" s="37"/>
    </row>
    <row r="10" spans="1:6" ht="59.4" customHeight="1" thickBot="1" x14ac:dyDescent="0.45">
      <c r="A10" s="37"/>
      <c r="B10" s="128" t="s">
        <v>240</v>
      </c>
      <c r="C10" s="140" t="s">
        <v>218</v>
      </c>
      <c r="D10" s="140"/>
      <c r="E10" s="141"/>
      <c r="F10" s="37"/>
    </row>
    <row r="11" spans="1:6" x14ac:dyDescent="0.4">
      <c r="A11" s="37"/>
      <c r="B11" s="37"/>
      <c r="C11" s="37"/>
      <c r="D11" s="37"/>
      <c r="E11" s="37"/>
      <c r="F11" s="37"/>
    </row>
    <row r="12" spans="1:6" ht="14.4" thickBot="1" x14ac:dyDescent="0.45">
      <c r="A12" s="37"/>
      <c r="B12" s="142" t="s">
        <v>241</v>
      </c>
      <c r="C12" s="37"/>
      <c r="D12" s="37"/>
      <c r="E12" s="37"/>
      <c r="F12" s="37"/>
    </row>
    <row r="13" spans="1:6" x14ac:dyDescent="0.4">
      <c r="A13" s="37"/>
      <c r="B13" s="121" t="s">
        <v>194</v>
      </c>
      <c r="C13" s="122" t="s">
        <v>242</v>
      </c>
      <c r="D13" s="123" t="s">
        <v>195</v>
      </c>
      <c r="E13" s="124" t="s">
        <v>243</v>
      </c>
      <c r="F13" s="37"/>
    </row>
    <row r="14" spans="1:6" ht="14.4" thickBot="1" x14ac:dyDescent="0.45">
      <c r="A14" s="37"/>
      <c r="B14" s="128" t="s">
        <v>197</v>
      </c>
      <c r="C14" s="129" t="s">
        <v>244</v>
      </c>
      <c r="D14" s="130" t="s">
        <v>196</v>
      </c>
      <c r="E14" s="131" t="s">
        <v>245</v>
      </c>
      <c r="F14" s="37"/>
    </row>
    <row r="15" spans="1:6" x14ac:dyDescent="0.4">
      <c r="A15" s="37"/>
      <c r="D15" s="37"/>
      <c r="E15" s="37"/>
      <c r="F15" s="37"/>
    </row>
    <row r="16" spans="1:6" ht="14.4" thickBot="1" x14ac:dyDescent="0.45">
      <c r="A16" s="37"/>
      <c r="B16" s="142" t="s">
        <v>246</v>
      </c>
      <c r="C16" s="37"/>
      <c r="D16" s="37"/>
      <c r="E16" s="37"/>
      <c r="F16" s="37"/>
    </row>
    <row r="17" spans="1:6" x14ac:dyDescent="0.4">
      <c r="A17" s="37"/>
      <c r="B17" s="121" t="s">
        <v>193</v>
      </c>
      <c r="C17" s="123" t="s">
        <v>247</v>
      </c>
      <c r="D17" s="123" t="s">
        <v>248</v>
      </c>
      <c r="E17" s="143" t="s">
        <v>249</v>
      </c>
      <c r="F17" s="37"/>
    </row>
    <row r="18" spans="1:6" x14ac:dyDescent="0.4">
      <c r="A18" s="37"/>
      <c r="B18" s="144" t="s">
        <v>205</v>
      </c>
      <c r="C18" s="145" t="s">
        <v>250</v>
      </c>
      <c r="D18" s="51"/>
      <c r="E18" s="127"/>
      <c r="F18" s="37"/>
    </row>
    <row r="19" spans="1:6" x14ac:dyDescent="0.4">
      <c r="A19" s="37"/>
      <c r="B19" s="144" t="s">
        <v>206</v>
      </c>
      <c r="C19" s="145" t="s">
        <v>251</v>
      </c>
      <c r="D19" s="51"/>
      <c r="E19" s="127"/>
      <c r="F19" s="37"/>
    </row>
    <row r="20" spans="1:6" x14ac:dyDescent="0.4">
      <c r="A20" s="37"/>
      <c r="B20" s="144" t="s">
        <v>252</v>
      </c>
      <c r="C20" s="145" t="s">
        <v>253</v>
      </c>
      <c r="D20" s="51"/>
      <c r="E20" s="127"/>
      <c r="F20" s="37"/>
    </row>
    <row r="21" spans="1:6" x14ac:dyDescent="0.4">
      <c r="A21" s="37"/>
      <c r="B21" s="144" t="s">
        <v>208</v>
      </c>
      <c r="C21" s="145" t="s">
        <v>254</v>
      </c>
      <c r="D21" s="51"/>
      <c r="E21" s="127"/>
      <c r="F21" s="37"/>
    </row>
    <row r="22" spans="1:6" ht="14.4" thickBot="1" x14ac:dyDescent="0.45">
      <c r="A22" s="37"/>
      <c r="B22" s="146" t="s">
        <v>255</v>
      </c>
      <c r="C22" s="147" t="s">
        <v>256</v>
      </c>
      <c r="D22" s="148"/>
      <c r="E22" s="131"/>
      <c r="F22" s="37"/>
    </row>
    <row r="23" spans="1:6" ht="9.6" customHeight="1" thickBot="1" x14ac:dyDescent="0.45">
      <c r="A23" s="37"/>
      <c r="B23" s="149"/>
      <c r="C23" s="37"/>
      <c r="D23" s="133"/>
      <c r="E23" s="37"/>
      <c r="F23" s="37"/>
    </row>
    <row r="24" spans="1:6" x14ac:dyDescent="0.4">
      <c r="A24" s="37"/>
      <c r="B24" s="121" t="s">
        <v>257</v>
      </c>
      <c r="C24" s="150" t="str">
        <f>IFERROR((D18*D19)*(D20*D21)*(1/D22),"")</f>
        <v/>
      </c>
      <c r="D24" s="123" t="s">
        <v>87</v>
      </c>
      <c r="E24" s="151" t="str">
        <f>IF(OR(C24=0,C24=""),"",IF(C24&gt;=100,"즉시조치필요",IF(AND(C24&gt;=20,C24&lt;100),"1개월내대응","정기모니터링")))</f>
        <v/>
      </c>
      <c r="F24" s="37"/>
    </row>
    <row r="25" spans="1:6" ht="69.599999999999994" customHeight="1" x14ac:dyDescent="0.4">
      <c r="A25" s="37"/>
      <c r="B25" s="125" t="s">
        <v>258</v>
      </c>
      <c r="C25" s="152"/>
      <c r="D25" s="126" t="s">
        <v>259</v>
      </c>
      <c r="E25" s="153"/>
      <c r="F25" s="37"/>
    </row>
    <row r="26" spans="1:6" ht="14.4" thickBot="1" x14ac:dyDescent="0.45">
      <c r="A26" s="37"/>
      <c r="B26" s="128" t="s">
        <v>260</v>
      </c>
      <c r="C26" s="154" t="str">
        <f>IF(E25="","",C24*(1-E25))</f>
        <v/>
      </c>
      <c r="D26" s="130" t="s">
        <v>261</v>
      </c>
      <c r="E26" s="155" t="str">
        <f>IF(E25="","",IF(C26&gt;=100,"즉시조치필요",IF(AND(20&lt;=C26,C26&lt;100),"1개월내대응","정기모니터링")))</f>
        <v/>
      </c>
      <c r="F26" s="37"/>
    </row>
    <row r="27" spans="1:6" x14ac:dyDescent="0.4">
      <c r="A27" s="37"/>
      <c r="B27" s="132"/>
      <c r="C27" s="132"/>
      <c r="D27" s="132"/>
      <c r="E27" s="132"/>
      <c r="F27" s="37"/>
    </row>
    <row r="28" spans="1:6" x14ac:dyDescent="0.4">
      <c r="B28" s="37"/>
      <c r="C28" s="37"/>
      <c r="D28" s="37"/>
      <c r="E28" s="37"/>
      <c r="F28" s="37"/>
    </row>
  </sheetData>
  <mergeCells count="3">
    <mergeCell ref="D7:D9"/>
    <mergeCell ref="E7:E9"/>
    <mergeCell ref="C10:E10"/>
  </mergeCells>
  <phoneticPr fontId="1" type="noConversion"/>
  <dataValidations count="1">
    <dataValidation type="list" allowBlank="1" showInputMessage="1" sqref="E25" xr:uid="{977B7A9D-357C-41E3-AF7B-C4CC220CF922}">
      <formula1>"100%,50%,0%"</formula1>
    </dataValidation>
  </dataValidations>
  <pageMargins left="0.7" right="0.7" top="0.75" bottom="0.75" header="0.3" footer="0.3"/>
  <pageSetup paperSize="9"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AC43-EA09-4D23-BFC7-31E3E3EC0036}">
  <sheetPr>
    <tabColor theme="1"/>
  </sheetPr>
  <dimension ref="A1"/>
  <sheetViews>
    <sheetView workbookViewId="0">
      <selection activeCell="G14" sqref="G14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A044-73B0-4DAE-836F-4734B01B3B90}">
  <dimension ref="A1:P40"/>
  <sheetViews>
    <sheetView view="pageBreakPreview" zoomScale="70" zoomScaleNormal="55" zoomScaleSheetLayoutView="70" workbookViewId="0">
      <pane xSplit="6" ySplit="2" topLeftCell="G3" activePane="bottomRight" state="frozen"/>
      <selection activeCell="G14" sqref="G14"/>
      <selection pane="topRight" activeCell="G14" sqref="G14"/>
      <selection pane="bottomLeft" activeCell="G14" sqref="G14"/>
      <selection pane="bottomRight" activeCell="G14" sqref="G14"/>
    </sheetView>
  </sheetViews>
  <sheetFormatPr defaultColWidth="14.3984375" defaultRowHeight="17.399999999999999" x14ac:dyDescent="0.4"/>
  <cols>
    <col min="1" max="1" width="2.09765625" style="157" customWidth="1"/>
    <col min="2" max="2" width="13.09765625" style="157" customWidth="1"/>
    <col min="3" max="3" width="15.59765625" style="157" customWidth="1"/>
    <col min="4" max="4" width="7.09765625" style="157" customWidth="1"/>
    <col min="5" max="5" width="20.8984375" style="157" customWidth="1"/>
    <col min="6" max="6" width="23.3984375" style="157" customWidth="1"/>
    <col min="7" max="7" width="24.8984375" style="157" customWidth="1"/>
    <col min="8" max="8" width="19.8984375" style="157" customWidth="1"/>
    <col min="9" max="10" width="14.3984375" style="157"/>
    <col min="11" max="11" width="25.09765625" style="157" customWidth="1"/>
    <col min="12" max="12" width="23.3984375" style="157" customWidth="1"/>
    <col min="13" max="14" width="14.3984375" style="157"/>
    <col min="15" max="15" width="30.5" style="157" customWidth="1"/>
    <col min="16" max="16384" width="14.3984375" style="157"/>
  </cols>
  <sheetData>
    <row r="1" spans="1:16" ht="15.6" customHeight="1" x14ac:dyDescent="0.4">
      <c r="A1" s="156"/>
      <c r="B1" s="156"/>
      <c r="C1" s="156"/>
      <c r="D1" s="156"/>
      <c r="E1" s="156" t="s">
        <v>262</v>
      </c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</row>
    <row r="2" spans="1:16" ht="34.799999999999997" x14ac:dyDescent="0.4">
      <c r="A2" s="156"/>
      <c r="B2" s="158" t="s">
        <v>263</v>
      </c>
      <c r="C2" s="158" t="s">
        <v>264</v>
      </c>
      <c r="D2" s="158" t="s">
        <v>265</v>
      </c>
      <c r="E2" s="158" t="s">
        <v>266</v>
      </c>
      <c r="F2" s="158" t="s">
        <v>267</v>
      </c>
      <c r="G2" s="158" t="s">
        <v>268</v>
      </c>
      <c r="H2" s="158" t="s">
        <v>269</v>
      </c>
      <c r="I2" s="158" t="s">
        <v>270</v>
      </c>
      <c r="J2" s="158" t="s">
        <v>271</v>
      </c>
      <c r="K2" s="158" t="s">
        <v>272</v>
      </c>
      <c r="L2" s="158" t="s">
        <v>273</v>
      </c>
      <c r="M2" s="158" t="s">
        <v>274</v>
      </c>
      <c r="N2" s="158" t="s">
        <v>275</v>
      </c>
      <c r="O2" s="158" t="s">
        <v>276</v>
      </c>
      <c r="P2" s="156"/>
    </row>
    <row r="3" spans="1:16" ht="52.2" x14ac:dyDescent="0.4">
      <c r="A3" s="156"/>
      <c r="B3" s="159" t="s">
        <v>277</v>
      </c>
      <c r="C3" s="159" t="s">
        <v>278</v>
      </c>
      <c r="D3" s="159" t="s">
        <v>91</v>
      </c>
      <c r="E3" s="159" t="s">
        <v>92</v>
      </c>
      <c r="F3" s="159" t="s">
        <v>279</v>
      </c>
      <c r="G3" s="159" t="s">
        <v>280</v>
      </c>
      <c r="H3" s="159" t="s">
        <v>281</v>
      </c>
      <c r="I3" s="159" t="s">
        <v>282</v>
      </c>
      <c r="J3" s="159" t="s">
        <v>283</v>
      </c>
      <c r="K3" s="159" t="s">
        <v>284</v>
      </c>
      <c r="L3" s="159" t="s">
        <v>285</v>
      </c>
      <c r="M3" s="159" t="s">
        <v>286</v>
      </c>
      <c r="N3" s="159" t="s">
        <v>287</v>
      </c>
      <c r="O3" s="159"/>
      <c r="P3" s="156"/>
    </row>
    <row r="4" spans="1:16" ht="34.799999999999997" x14ac:dyDescent="0.4">
      <c r="A4" s="156"/>
      <c r="B4" s="159" t="s">
        <v>288</v>
      </c>
      <c r="C4" s="159" t="s">
        <v>289</v>
      </c>
      <c r="D4" s="159" t="s">
        <v>94</v>
      </c>
      <c r="E4" s="159" t="s">
        <v>95</v>
      </c>
      <c r="F4" s="159" t="s">
        <v>290</v>
      </c>
      <c r="G4" s="159" t="s">
        <v>291</v>
      </c>
      <c r="H4" s="159" t="s">
        <v>292</v>
      </c>
      <c r="I4" s="159" t="s">
        <v>293</v>
      </c>
      <c r="J4" s="159" t="s">
        <v>294</v>
      </c>
      <c r="K4" s="159" t="s">
        <v>295</v>
      </c>
      <c r="L4" s="159" t="s">
        <v>296</v>
      </c>
      <c r="M4" s="159" t="s">
        <v>286</v>
      </c>
      <c r="N4" s="159" t="s">
        <v>297</v>
      </c>
      <c r="O4" s="159"/>
      <c r="P4" s="156"/>
    </row>
    <row r="5" spans="1:16" ht="34.799999999999997" x14ac:dyDescent="0.4">
      <c r="A5" s="156"/>
      <c r="B5" s="159" t="s">
        <v>288</v>
      </c>
      <c r="C5" s="159" t="s">
        <v>289</v>
      </c>
      <c r="D5" s="159" t="s">
        <v>97</v>
      </c>
      <c r="E5" s="159" t="s">
        <v>98</v>
      </c>
      <c r="F5" s="159" t="s">
        <v>298</v>
      </c>
      <c r="G5" s="159" t="s">
        <v>299</v>
      </c>
      <c r="H5" s="159" t="s">
        <v>300</v>
      </c>
      <c r="I5" s="159" t="s">
        <v>301</v>
      </c>
      <c r="J5" s="159" t="s">
        <v>302</v>
      </c>
      <c r="K5" s="159" t="s">
        <v>303</v>
      </c>
      <c r="L5" s="159" t="s">
        <v>304</v>
      </c>
      <c r="M5" s="159" t="s">
        <v>286</v>
      </c>
      <c r="N5" s="159" t="s">
        <v>305</v>
      </c>
      <c r="O5" s="159"/>
      <c r="P5" s="156"/>
    </row>
    <row r="6" spans="1:16" ht="34.799999999999997" x14ac:dyDescent="0.4">
      <c r="A6" s="156"/>
      <c r="B6" s="159" t="s">
        <v>288</v>
      </c>
      <c r="C6" s="159" t="s">
        <v>306</v>
      </c>
      <c r="D6" s="159" t="s">
        <v>100</v>
      </c>
      <c r="E6" s="159" t="s">
        <v>102</v>
      </c>
      <c r="F6" s="159" t="s">
        <v>307</v>
      </c>
      <c r="G6" s="159" t="s">
        <v>308</v>
      </c>
      <c r="H6" s="159" t="s">
        <v>309</v>
      </c>
      <c r="I6" s="159" t="s">
        <v>310</v>
      </c>
      <c r="J6" s="159" t="s">
        <v>311</v>
      </c>
      <c r="K6" s="159" t="s">
        <v>312</v>
      </c>
      <c r="L6" s="159" t="s">
        <v>313</v>
      </c>
      <c r="M6" s="159" t="s">
        <v>286</v>
      </c>
      <c r="N6" s="159" t="s">
        <v>297</v>
      </c>
      <c r="O6" s="159"/>
      <c r="P6" s="156"/>
    </row>
    <row r="7" spans="1:16" ht="34.799999999999997" x14ac:dyDescent="0.4">
      <c r="A7" s="156"/>
      <c r="B7" s="159" t="s">
        <v>288</v>
      </c>
      <c r="C7" s="159" t="s">
        <v>314</v>
      </c>
      <c r="D7" s="159" t="s">
        <v>105</v>
      </c>
      <c r="E7" s="159" t="s">
        <v>106</v>
      </c>
      <c r="F7" s="159" t="s">
        <v>315</v>
      </c>
      <c r="G7" s="159" t="s">
        <v>316</v>
      </c>
      <c r="H7" s="159" t="s">
        <v>317</v>
      </c>
      <c r="I7" s="159" t="s">
        <v>318</v>
      </c>
      <c r="J7" s="159" t="s">
        <v>319</v>
      </c>
      <c r="K7" s="159" t="s">
        <v>320</v>
      </c>
      <c r="L7" s="159" t="s">
        <v>321</v>
      </c>
      <c r="M7" s="159" t="s">
        <v>286</v>
      </c>
      <c r="N7" s="159" t="s">
        <v>322</v>
      </c>
      <c r="O7" s="159"/>
      <c r="P7" s="156"/>
    </row>
    <row r="8" spans="1:16" ht="34.799999999999997" x14ac:dyDescent="0.4">
      <c r="A8" s="156"/>
      <c r="B8" s="159" t="s">
        <v>288</v>
      </c>
      <c r="C8" s="159" t="s">
        <v>323</v>
      </c>
      <c r="D8" s="159" t="s">
        <v>108</v>
      </c>
      <c r="E8" s="159" t="s">
        <v>109</v>
      </c>
      <c r="F8" s="159" t="s">
        <v>324</v>
      </c>
      <c r="G8" s="159" t="s">
        <v>325</v>
      </c>
      <c r="H8" s="159" t="s">
        <v>326</v>
      </c>
      <c r="I8" s="159" t="s">
        <v>327</v>
      </c>
      <c r="J8" s="159" t="s">
        <v>328</v>
      </c>
      <c r="K8" s="159" t="s">
        <v>329</v>
      </c>
      <c r="L8" s="159" t="s">
        <v>330</v>
      </c>
      <c r="M8" s="159" t="s">
        <v>286</v>
      </c>
      <c r="N8" s="159" t="s">
        <v>331</v>
      </c>
      <c r="O8" s="159"/>
      <c r="P8" s="156"/>
    </row>
    <row r="9" spans="1:16" ht="34.799999999999997" x14ac:dyDescent="0.4">
      <c r="A9" s="156"/>
      <c r="B9" s="159" t="s">
        <v>288</v>
      </c>
      <c r="C9" s="159" t="s">
        <v>332</v>
      </c>
      <c r="D9" s="159" t="s">
        <v>111</v>
      </c>
      <c r="E9" s="159" t="s">
        <v>112</v>
      </c>
      <c r="F9" s="159" t="s">
        <v>333</v>
      </c>
      <c r="G9" s="159" t="s">
        <v>334</v>
      </c>
      <c r="H9" s="159" t="s">
        <v>335</v>
      </c>
      <c r="I9" s="159" t="s">
        <v>327</v>
      </c>
      <c r="J9" s="159" t="s">
        <v>336</v>
      </c>
      <c r="K9" s="159" t="s">
        <v>337</v>
      </c>
      <c r="L9" s="159" t="s">
        <v>338</v>
      </c>
      <c r="M9" s="159" t="s">
        <v>286</v>
      </c>
      <c r="N9" s="159" t="s">
        <v>331</v>
      </c>
      <c r="O9" s="159"/>
      <c r="P9" s="156"/>
    </row>
    <row r="10" spans="1:16" ht="34.799999999999997" x14ac:dyDescent="0.4">
      <c r="A10" s="156"/>
      <c r="B10" s="159" t="s">
        <v>288</v>
      </c>
      <c r="C10" s="159" t="s">
        <v>332</v>
      </c>
      <c r="D10" s="159" t="s">
        <v>113</v>
      </c>
      <c r="E10" s="159" t="s">
        <v>114</v>
      </c>
      <c r="F10" s="159" t="s">
        <v>339</v>
      </c>
      <c r="G10" s="159" t="s">
        <v>340</v>
      </c>
      <c r="H10" s="159" t="s">
        <v>341</v>
      </c>
      <c r="I10" s="159" t="s">
        <v>342</v>
      </c>
      <c r="J10" s="159" t="s">
        <v>343</v>
      </c>
      <c r="K10" s="159" t="s">
        <v>344</v>
      </c>
      <c r="L10" s="159" t="s">
        <v>345</v>
      </c>
      <c r="M10" s="159" t="s">
        <v>346</v>
      </c>
      <c r="N10" s="159" t="s">
        <v>347</v>
      </c>
      <c r="O10" s="159"/>
      <c r="P10" s="156"/>
    </row>
    <row r="11" spans="1:16" ht="34.799999999999997" x14ac:dyDescent="0.4">
      <c r="A11" s="156"/>
      <c r="B11" s="159" t="s">
        <v>288</v>
      </c>
      <c r="C11" s="159" t="s">
        <v>332</v>
      </c>
      <c r="D11" s="159" t="s">
        <v>117</v>
      </c>
      <c r="E11" s="159" t="s">
        <v>118</v>
      </c>
      <c r="F11" s="159" t="s">
        <v>348</v>
      </c>
      <c r="G11" s="159" t="s">
        <v>349</v>
      </c>
      <c r="H11" s="159" t="s">
        <v>335</v>
      </c>
      <c r="I11" s="159" t="s">
        <v>350</v>
      </c>
      <c r="J11" s="159" t="s">
        <v>351</v>
      </c>
      <c r="K11" s="159" t="s">
        <v>352</v>
      </c>
      <c r="L11" s="159" t="s">
        <v>353</v>
      </c>
      <c r="M11" s="159" t="s">
        <v>354</v>
      </c>
      <c r="N11" s="159" t="s">
        <v>355</v>
      </c>
      <c r="O11" s="159"/>
      <c r="P11" s="156"/>
    </row>
    <row r="12" spans="1:16" ht="34.799999999999997" x14ac:dyDescent="0.4">
      <c r="A12" s="156"/>
      <c r="B12" s="159" t="s">
        <v>356</v>
      </c>
      <c r="C12" s="159" t="s">
        <v>357</v>
      </c>
      <c r="D12" s="159" t="s">
        <v>120</v>
      </c>
      <c r="E12" s="159" t="s">
        <v>121</v>
      </c>
      <c r="F12" s="159" t="s">
        <v>358</v>
      </c>
      <c r="G12" s="159" t="s">
        <v>359</v>
      </c>
      <c r="H12" s="159" t="s">
        <v>341</v>
      </c>
      <c r="I12" s="159" t="s">
        <v>318</v>
      </c>
      <c r="J12" s="159" t="s">
        <v>360</v>
      </c>
      <c r="K12" s="159" t="s">
        <v>361</v>
      </c>
      <c r="L12" s="159" t="s">
        <v>362</v>
      </c>
      <c r="M12" s="159" t="s">
        <v>286</v>
      </c>
      <c r="N12" s="159" t="s">
        <v>363</v>
      </c>
      <c r="O12" s="159"/>
      <c r="P12" s="156"/>
    </row>
    <row r="13" spans="1:16" ht="34.799999999999997" x14ac:dyDescent="0.4">
      <c r="A13" s="156"/>
      <c r="B13" s="159" t="s">
        <v>364</v>
      </c>
      <c r="C13" s="159" t="s">
        <v>365</v>
      </c>
      <c r="D13" s="159" t="s">
        <v>123</v>
      </c>
      <c r="E13" s="159" t="s">
        <v>124</v>
      </c>
      <c r="F13" s="159" t="s">
        <v>366</v>
      </c>
      <c r="G13" s="159" t="s">
        <v>367</v>
      </c>
      <c r="H13" s="159" t="s">
        <v>368</v>
      </c>
      <c r="I13" s="159" t="s">
        <v>369</v>
      </c>
      <c r="J13" s="159" t="s">
        <v>370</v>
      </c>
      <c r="K13" s="159" t="s">
        <v>371</v>
      </c>
      <c r="L13" s="159" t="s">
        <v>372</v>
      </c>
      <c r="M13" s="159" t="s">
        <v>286</v>
      </c>
      <c r="N13" s="159" t="s">
        <v>373</v>
      </c>
      <c r="O13" s="159"/>
      <c r="P13" s="156"/>
    </row>
    <row r="14" spans="1:16" ht="34.799999999999997" x14ac:dyDescent="0.4">
      <c r="A14" s="156"/>
      <c r="B14" s="159" t="s">
        <v>364</v>
      </c>
      <c r="C14" s="159" t="s">
        <v>365</v>
      </c>
      <c r="D14" s="159" t="s">
        <v>125</v>
      </c>
      <c r="E14" s="159" t="s">
        <v>126</v>
      </c>
      <c r="F14" s="159" t="s">
        <v>374</v>
      </c>
      <c r="G14" s="159" t="s">
        <v>375</v>
      </c>
      <c r="H14" s="159" t="s">
        <v>376</v>
      </c>
      <c r="I14" s="159" t="s">
        <v>377</v>
      </c>
      <c r="J14" s="159" t="s">
        <v>378</v>
      </c>
      <c r="K14" s="159" t="s">
        <v>379</v>
      </c>
      <c r="L14" s="159" t="s">
        <v>380</v>
      </c>
      <c r="M14" s="159" t="s">
        <v>286</v>
      </c>
      <c r="N14" s="159" t="s">
        <v>381</v>
      </c>
      <c r="O14" s="159"/>
      <c r="P14" s="156"/>
    </row>
    <row r="15" spans="1:16" ht="34.799999999999997" x14ac:dyDescent="0.4">
      <c r="A15" s="156"/>
      <c r="B15" s="159" t="s">
        <v>364</v>
      </c>
      <c r="C15" s="159" t="s">
        <v>365</v>
      </c>
      <c r="D15" s="159" t="s">
        <v>127</v>
      </c>
      <c r="E15" s="159" t="s">
        <v>128</v>
      </c>
      <c r="F15" s="159" t="s">
        <v>382</v>
      </c>
      <c r="G15" s="159" t="s">
        <v>383</v>
      </c>
      <c r="H15" s="159" t="s">
        <v>384</v>
      </c>
      <c r="I15" s="159" t="s">
        <v>385</v>
      </c>
      <c r="J15" s="159" t="s">
        <v>386</v>
      </c>
      <c r="K15" s="159" t="s">
        <v>387</v>
      </c>
      <c r="L15" s="159" t="s">
        <v>388</v>
      </c>
      <c r="M15" s="159" t="s">
        <v>286</v>
      </c>
      <c r="N15" s="159" t="s">
        <v>389</v>
      </c>
      <c r="O15" s="159"/>
      <c r="P15" s="156"/>
    </row>
    <row r="16" spans="1:16" ht="34.799999999999997" x14ac:dyDescent="0.4">
      <c r="A16" s="156"/>
      <c r="B16" s="159" t="s">
        <v>364</v>
      </c>
      <c r="C16" s="159" t="s">
        <v>390</v>
      </c>
      <c r="D16" s="159" t="s">
        <v>129</v>
      </c>
      <c r="E16" s="159" t="s">
        <v>130</v>
      </c>
      <c r="F16" s="159" t="s">
        <v>391</v>
      </c>
      <c r="G16" s="159" t="s">
        <v>392</v>
      </c>
      <c r="H16" s="159" t="s">
        <v>393</v>
      </c>
      <c r="I16" s="159" t="s">
        <v>318</v>
      </c>
      <c r="J16" s="159" t="s">
        <v>394</v>
      </c>
      <c r="K16" s="159" t="s">
        <v>395</v>
      </c>
      <c r="L16" s="159" t="s">
        <v>396</v>
      </c>
      <c r="M16" s="159" t="s">
        <v>286</v>
      </c>
      <c r="N16" s="159" t="s">
        <v>363</v>
      </c>
      <c r="O16" s="159"/>
      <c r="P16" s="156"/>
    </row>
    <row r="17" spans="1:16" x14ac:dyDescent="0.4">
      <c r="A17" s="156"/>
      <c r="B17" s="159" t="s">
        <v>364</v>
      </c>
      <c r="C17" s="159" t="s">
        <v>390</v>
      </c>
      <c r="D17" s="159" t="s">
        <v>131</v>
      </c>
      <c r="E17" s="159" t="s">
        <v>132</v>
      </c>
      <c r="F17" s="159" t="s">
        <v>397</v>
      </c>
      <c r="G17" s="159" t="s">
        <v>398</v>
      </c>
      <c r="H17" s="159" t="s">
        <v>399</v>
      </c>
      <c r="I17" s="159" t="s">
        <v>400</v>
      </c>
      <c r="J17" s="159" t="s">
        <v>401</v>
      </c>
      <c r="K17" s="159" t="s">
        <v>402</v>
      </c>
      <c r="L17" s="159" t="s">
        <v>403</v>
      </c>
      <c r="M17" s="159" t="s">
        <v>286</v>
      </c>
      <c r="N17" s="159" t="s">
        <v>381</v>
      </c>
      <c r="O17" s="159"/>
      <c r="P17" s="156"/>
    </row>
    <row r="18" spans="1:16" ht="34.799999999999997" x14ac:dyDescent="0.4">
      <c r="A18" s="156"/>
      <c r="B18" s="159" t="s">
        <v>364</v>
      </c>
      <c r="C18" s="159" t="s">
        <v>404</v>
      </c>
      <c r="D18" s="159" t="s">
        <v>133</v>
      </c>
      <c r="E18" s="159" t="s">
        <v>135</v>
      </c>
      <c r="F18" s="159" t="s">
        <v>405</v>
      </c>
      <c r="G18" s="159" t="s">
        <v>406</v>
      </c>
      <c r="H18" s="159" t="s">
        <v>407</v>
      </c>
      <c r="I18" s="159" t="s">
        <v>400</v>
      </c>
      <c r="J18" s="159" t="s">
        <v>408</v>
      </c>
      <c r="K18" s="159" t="s">
        <v>409</v>
      </c>
      <c r="L18" s="159" t="s">
        <v>410</v>
      </c>
      <c r="M18" s="159" t="s">
        <v>286</v>
      </c>
      <c r="N18" s="159" t="s">
        <v>411</v>
      </c>
      <c r="O18" s="159"/>
      <c r="P18" s="156"/>
    </row>
    <row r="19" spans="1:16" ht="34.799999999999997" x14ac:dyDescent="0.4">
      <c r="A19" s="156"/>
      <c r="B19" s="159" t="s">
        <v>364</v>
      </c>
      <c r="C19" s="159" t="s">
        <v>404</v>
      </c>
      <c r="D19" s="159" t="s">
        <v>136</v>
      </c>
      <c r="E19" s="159" t="s">
        <v>137</v>
      </c>
      <c r="F19" s="159" t="s">
        <v>412</v>
      </c>
      <c r="G19" s="159" t="s">
        <v>413</v>
      </c>
      <c r="H19" s="159" t="s">
        <v>414</v>
      </c>
      <c r="I19" s="159" t="s">
        <v>385</v>
      </c>
      <c r="J19" s="159" t="s">
        <v>415</v>
      </c>
      <c r="K19" s="159" t="s">
        <v>416</v>
      </c>
      <c r="L19" s="159" t="s">
        <v>417</v>
      </c>
      <c r="M19" s="159" t="s">
        <v>286</v>
      </c>
      <c r="N19" s="159" t="s">
        <v>418</v>
      </c>
      <c r="O19" s="159"/>
      <c r="P19" s="156"/>
    </row>
    <row r="20" spans="1:16" ht="34.799999999999997" x14ac:dyDescent="0.4">
      <c r="A20" s="156"/>
      <c r="B20" s="159" t="s">
        <v>288</v>
      </c>
      <c r="C20" s="159" t="s">
        <v>332</v>
      </c>
      <c r="D20" s="159" t="s">
        <v>138</v>
      </c>
      <c r="E20" s="159" t="s">
        <v>139</v>
      </c>
      <c r="F20" s="159" t="s">
        <v>419</v>
      </c>
      <c r="G20" s="159" t="s">
        <v>420</v>
      </c>
      <c r="H20" s="159" t="s">
        <v>421</v>
      </c>
      <c r="I20" s="159" t="s">
        <v>385</v>
      </c>
      <c r="J20" s="159" t="s">
        <v>422</v>
      </c>
      <c r="K20" s="159" t="s">
        <v>423</v>
      </c>
      <c r="L20" s="159" t="s">
        <v>424</v>
      </c>
      <c r="M20" s="159" t="s">
        <v>286</v>
      </c>
      <c r="N20" s="159" t="s">
        <v>425</v>
      </c>
      <c r="O20" s="159"/>
      <c r="P20" s="156"/>
    </row>
    <row r="21" spans="1:16" ht="34.799999999999997" x14ac:dyDescent="0.4">
      <c r="A21" s="156"/>
      <c r="B21" s="159" t="s">
        <v>288</v>
      </c>
      <c r="C21" s="159" t="s">
        <v>332</v>
      </c>
      <c r="D21" s="159" t="s">
        <v>140</v>
      </c>
      <c r="E21" s="159" t="s">
        <v>141</v>
      </c>
      <c r="F21" s="159" t="s">
        <v>426</v>
      </c>
      <c r="G21" s="159" t="s">
        <v>427</v>
      </c>
      <c r="H21" s="159" t="s">
        <v>428</v>
      </c>
      <c r="I21" s="159" t="s">
        <v>327</v>
      </c>
      <c r="J21" s="159" t="s">
        <v>429</v>
      </c>
      <c r="K21" s="159" t="s">
        <v>430</v>
      </c>
      <c r="L21" s="159" t="s">
        <v>431</v>
      </c>
      <c r="M21" s="159" t="s">
        <v>346</v>
      </c>
      <c r="N21" s="159" t="s">
        <v>432</v>
      </c>
      <c r="O21" s="159"/>
      <c r="P21" s="156"/>
    </row>
    <row r="22" spans="1:16" x14ac:dyDescent="0.4">
      <c r="A22" s="156"/>
      <c r="B22" s="159" t="s">
        <v>364</v>
      </c>
      <c r="C22" s="159" t="s">
        <v>365</v>
      </c>
      <c r="D22" s="159" t="s">
        <v>142</v>
      </c>
      <c r="E22" s="159" t="s">
        <v>143</v>
      </c>
      <c r="F22" s="159" t="s">
        <v>433</v>
      </c>
      <c r="G22" s="159" t="s">
        <v>434</v>
      </c>
      <c r="H22" s="159" t="s">
        <v>435</v>
      </c>
      <c r="I22" s="159" t="s">
        <v>436</v>
      </c>
      <c r="J22" s="159" t="s">
        <v>437</v>
      </c>
      <c r="K22" s="159" t="s">
        <v>438</v>
      </c>
      <c r="L22" s="159" t="s">
        <v>439</v>
      </c>
      <c r="M22" s="159" t="s">
        <v>346</v>
      </c>
      <c r="N22" s="159" t="s">
        <v>381</v>
      </c>
      <c r="O22" s="159"/>
      <c r="P22" s="156"/>
    </row>
    <row r="23" spans="1:16" ht="34.799999999999997" x14ac:dyDescent="0.4">
      <c r="A23" s="156"/>
      <c r="B23" s="159" t="s">
        <v>440</v>
      </c>
      <c r="C23" s="159" t="s">
        <v>441</v>
      </c>
      <c r="D23" s="159" t="s">
        <v>144</v>
      </c>
      <c r="E23" s="159" t="s">
        <v>145</v>
      </c>
      <c r="F23" s="159" t="s">
        <v>442</v>
      </c>
      <c r="G23" s="159" t="s">
        <v>443</v>
      </c>
      <c r="H23" s="159" t="s">
        <v>368</v>
      </c>
      <c r="I23" s="159" t="s">
        <v>400</v>
      </c>
      <c r="J23" s="159" t="s">
        <v>408</v>
      </c>
      <c r="K23" s="159" t="s">
        <v>444</v>
      </c>
      <c r="L23" s="159" t="s">
        <v>445</v>
      </c>
      <c r="M23" s="159" t="s">
        <v>286</v>
      </c>
      <c r="N23" s="159" t="s">
        <v>411</v>
      </c>
      <c r="O23" s="159"/>
      <c r="P23" s="156"/>
    </row>
    <row r="24" spans="1:16" ht="34.799999999999997" x14ac:dyDescent="0.4">
      <c r="A24" s="156"/>
      <c r="B24" s="159" t="s">
        <v>446</v>
      </c>
      <c r="C24" s="159" t="s">
        <v>447</v>
      </c>
      <c r="D24" s="159" t="s">
        <v>146</v>
      </c>
      <c r="E24" s="159" t="s">
        <v>147</v>
      </c>
      <c r="F24" s="159" t="s">
        <v>448</v>
      </c>
      <c r="G24" s="159" t="s">
        <v>449</v>
      </c>
      <c r="H24" s="159" t="s">
        <v>450</v>
      </c>
      <c r="I24" s="159" t="s">
        <v>451</v>
      </c>
      <c r="J24" s="159" t="s">
        <v>452</v>
      </c>
      <c r="K24" s="159" t="s">
        <v>453</v>
      </c>
      <c r="L24" s="159" t="s">
        <v>454</v>
      </c>
      <c r="M24" s="159" t="s">
        <v>354</v>
      </c>
      <c r="N24" s="159" t="s">
        <v>455</v>
      </c>
      <c r="O24" s="159"/>
      <c r="P24" s="156"/>
    </row>
    <row r="25" spans="1:16" ht="34.799999999999997" x14ac:dyDescent="0.4">
      <c r="A25" s="156"/>
      <c r="B25" s="159" t="s">
        <v>446</v>
      </c>
      <c r="C25" s="159" t="s">
        <v>456</v>
      </c>
      <c r="D25" s="159" t="s">
        <v>148</v>
      </c>
      <c r="E25" s="159" t="s">
        <v>149</v>
      </c>
      <c r="F25" s="159" t="s">
        <v>457</v>
      </c>
      <c r="G25" s="159" t="s">
        <v>458</v>
      </c>
      <c r="H25" s="159" t="s">
        <v>459</v>
      </c>
      <c r="I25" s="159" t="s">
        <v>451</v>
      </c>
      <c r="J25" s="159" t="s">
        <v>460</v>
      </c>
      <c r="K25" s="159" t="s">
        <v>461</v>
      </c>
      <c r="L25" s="159" t="s">
        <v>462</v>
      </c>
      <c r="M25" s="159" t="s">
        <v>354</v>
      </c>
      <c r="N25" s="159" t="s">
        <v>455</v>
      </c>
      <c r="O25" s="159"/>
      <c r="P25" s="156"/>
    </row>
    <row r="26" spans="1:16" ht="34.799999999999997" x14ac:dyDescent="0.4">
      <c r="A26" s="156"/>
      <c r="B26" s="159" t="s">
        <v>288</v>
      </c>
      <c r="C26" s="159" t="s">
        <v>289</v>
      </c>
      <c r="D26" s="159" t="s">
        <v>150</v>
      </c>
      <c r="E26" s="159" t="s">
        <v>151</v>
      </c>
      <c r="F26" s="159" t="s">
        <v>463</v>
      </c>
      <c r="G26" s="159" t="s">
        <v>464</v>
      </c>
      <c r="H26" s="159" t="s">
        <v>465</v>
      </c>
      <c r="I26" s="159" t="s">
        <v>466</v>
      </c>
      <c r="J26" s="159" t="s">
        <v>467</v>
      </c>
      <c r="K26" s="159" t="s">
        <v>468</v>
      </c>
      <c r="L26" s="159" t="s">
        <v>469</v>
      </c>
      <c r="M26" s="159" t="s">
        <v>346</v>
      </c>
      <c r="N26" s="159" t="s">
        <v>470</v>
      </c>
      <c r="O26" s="159"/>
      <c r="P26" s="156"/>
    </row>
    <row r="27" spans="1:16" ht="34.799999999999997" x14ac:dyDescent="0.4">
      <c r="A27" s="156"/>
      <c r="B27" s="159" t="s">
        <v>288</v>
      </c>
      <c r="C27" s="159" t="s">
        <v>332</v>
      </c>
      <c r="D27" s="159" t="s">
        <v>152</v>
      </c>
      <c r="E27" s="159" t="s">
        <v>153</v>
      </c>
      <c r="F27" s="159" t="s">
        <v>471</v>
      </c>
      <c r="G27" s="159" t="s">
        <v>472</v>
      </c>
      <c r="H27" s="159" t="s">
        <v>335</v>
      </c>
      <c r="I27" s="159" t="s">
        <v>327</v>
      </c>
      <c r="J27" s="159" t="s">
        <v>473</v>
      </c>
      <c r="K27" s="159" t="s">
        <v>474</v>
      </c>
      <c r="L27" s="159" t="s">
        <v>475</v>
      </c>
      <c r="M27" s="159" t="s">
        <v>354</v>
      </c>
      <c r="N27" s="159" t="s">
        <v>476</v>
      </c>
      <c r="O27" s="159"/>
      <c r="P27" s="156"/>
    </row>
    <row r="28" spans="1:16" ht="34.799999999999997" x14ac:dyDescent="0.4">
      <c r="A28" s="156"/>
      <c r="B28" s="159" t="s">
        <v>364</v>
      </c>
      <c r="C28" s="159" t="s">
        <v>365</v>
      </c>
      <c r="D28" s="159" t="s">
        <v>154</v>
      </c>
      <c r="E28" s="159" t="s">
        <v>155</v>
      </c>
      <c r="F28" s="159" t="s">
        <v>477</v>
      </c>
      <c r="G28" s="159" t="s">
        <v>478</v>
      </c>
      <c r="H28" s="159" t="s">
        <v>341</v>
      </c>
      <c r="I28" s="159" t="s">
        <v>479</v>
      </c>
      <c r="J28" s="159" t="s">
        <v>480</v>
      </c>
      <c r="K28" s="159" t="s">
        <v>481</v>
      </c>
      <c r="L28" s="159" t="s">
        <v>482</v>
      </c>
      <c r="M28" s="159" t="s">
        <v>346</v>
      </c>
      <c r="N28" s="159" t="s">
        <v>381</v>
      </c>
      <c r="O28" s="159"/>
      <c r="P28" s="156"/>
    </row>
    <row r="29" spans="1:16" ht="34.799999999999997" x14ac:dyDescent="0.4">
      <c r="A29" s="156"/>
      <c r="B29" s="159" t="s">
        <v>364</v>
      </c>
      <c r="C29" s="159" t="s">
        <v>365</v>
      </c>
      <c r="D29" s="159" t="s">
        <v>156</v>
      </c>
      <c r="E29" s="159" t="s">
        <v>157</v>
      </c>
      <c r="F29" s="159" t="s">
        <v>483</v>
      </c>
      <c r="G29" s="159" t="s">
        <v>484</v>
      </c>
      <c r="H29" s="159" t="s">
        <v>485</v>
      </c>
      <c r="I29" s="159" t="s">
        <v>479</v>
      </c>
      <c r="J29" s="159" t="s">
        <v>486</v>
      </c>
      <c r="K29" s="159" t="s">
        <v>487</v>
      </c>
      <c r="L29" s="159" t="s">
        <v>488</v>
      </c>
      <c r="M29" s="159" t="s">
        <v>286</v>
      </c>
      <c r="N29" s="159" t="s">
        <v>381</v>
      </c>
      <c r="O29" s="159"/>
      <c r="P29" s="156"/>
    </row>
    <row r="30" spans="1:16" ht="34.799999999999997" x14ac:dyDescent="0.4">
      <c r="A30" s="156"/>
      <c r="B30" s="159" t="s">
        <v>364</v>
      </c>
      <c r="C30" s="159" t="s">
        <v>390</v>
      </c>
      <c r="D30" s="159" t="s">
        <v>158</v>
      </c>
      <c r="E30" s="159" t="s">
        <v>159</v>
      </c>
      <c r="F30" s="159" t="s">
        <v>489</v>
      </c>
      <c r="G30" s="159" t="s">
        <v>490</v>
      </c>
      <c r="H30" s="159" t="s">
        <v>491</v>
      </c>
      <c r="I30" s="159" t="s">
        <v>492</v>
      </c>
      <c r="J30" s="159" t="s">
        <v>493</v>
      </c>
      <c r="K30" s="159" t="s">
        <v>494</v>
      </c>
      <c r="L30" s="159" t="s">
        <v>495</v>
      </c>
      <c r="M30" s="159" t="s">
        <v>346</v>
      </c>
      <c r="N30" s="159" t="s">
        <v>322</v>
      </c>
      <c r="O30" s="159"/>
      <c r="P30" s="156"/>
    </row>
    <row r="31" spans="1:16" ht="34.799999999999997" x14ac:dyDescent="0.4">
      <c r="A31" s="156"/>
      <c r="B31" s="159" t="s">
        <v>288</v>
      </c>
      <c r="C31" s="159" t="s">
        <v>332</v>
      </c>
      <c r="D31" s="159" t="s">
        <v>160</v>
      </c>
      <c r="E31" s="159" t="s">
        <v>161</v>
      </c>
      <c r="F31" s="159" t="s">
        <v>496</v>
      </c>
      <c r="G31" s="159" t="s">
        <v>497</v>
      </c>
      <c r="H31" s="159" t="s">
        <v>498</v>
      </c>
      <c r="I31" s="159" t="s">
        <v>327</v>
      </c>
      <c r="J31" s="159" t="s">
        <v>499</v>
      </c>
      <c r="K31" s="159" t="s">
        <v>500</v>
      </c>
      <c r="L31" s="159" t="s">
        <v>501</v>
      </c>
      <c r="M31" s="159" t="s">
        <v>354</v>
      </c>
      <c r="N31" s="159" t="s">
        <v>502</v>
      </c>
      <c r="O31" s="159"/>
      <c r="P31" s="156"/>
    </row>
    <row r="32" spans="1:16" ht="34.799999999999997" x14ac:dyDescent="0.4">
      <c r="A32" s="156"/>
      <c r="B32" s="159" t="s">
        <v>364</v>
      </c>
      <c r="C32" s="159" t="s">
        <v>404</v>
      </c>
      <c r="D32" s="159" t="s">
        <v>162</v>
      </c>
      <c r="E32" s="159" t="s">
        <v>163</v>
      </c>
      <c r="F32" s="159" t="s">
        <v>503</v>
      </c>
      <c r="G32" s="159" t="s">
        <v>504</v>
      </c>
      <c r="H32" s="159" t="s">
        <v>505</v>
      </c>
      <c r="I32" s="159" t="s">
        <v>377</v>
      </c>
      <c r="J32" s="159" t="s">
        <v>506</v>
      </c>
      <c r="K32" s="159" t="s">
        <v>507</v>
      </c>
      <c r="L32" s="159" t="s">
        <v>508</v>
      </c>
      <c r="M32" s="159" t="s">
        <v>286</v>
      </c>
      <c r="N32" s="159" t="s">
        <v>509</v>
      </c>
      <c r="O32" s="159"/>
      <c r="P32" s="156"/>
    </row>
    <row r="33" spans="1:16" ht="34.799999999999997" x14ac:dyDescent="0.4">
      <c r="A33" s="156"/>
      <c r="B33" s="159" t="s">
        <v>288</v>
      </c>
      <c r="C33" s="159" t="s">
        <v>314</v>
      </c>
      <c r="D33" s="159" t="s">
        <v>164</v>
      </c>
      <c r="E33" s="159" t="s">
        <v>165</v>
      </c>
      <c r="F33" s="159" t="s">
        <v>510</v>
      </c>
      <c r="G33" s="159" t="s">
        <v>511</v>
      </c>
      <c r="H33" s="159" t="s">
        <v>512</v>
      </c>
      <c r="I33" s="159" t="s">
        <v>513</v>
      </c>
      <c r="J33" s="159" t="s">
        <v>319</v>
      </c>
      <c r="K33" s="159" t="s">
        <v>514</v>
      </c>
      <c r="L33" s="159" t="s">
        <v>515</v>
      </c>
      <c r="M33" s="159" t="s">
        <v>286</v>
      </c>
      <c r="N33" s="159" t="s">
        <v>381</v>
      </c>
      <c r="O33" s="159"/>
      <c r="P33" s="156"/>
    </row>
    <row r="34" spans="1:16" x14ac:dyDescent="0.4">
      <c r="A34" s="156"/>
      <c r="B34" s="159" t="s">
        <v>288</v>
      </c>
      <c r="C34" s="159" t="s">
        <v>332</v>
      </c>
      <c r="D34" s="159" t="s">
        <v>166</v>
      </c>
      <c r="E34" s="159" t="s">
        <v>167</v>
      </c>
      <c r="F34" s="159" t="s">
        <v>516</v>
      </c>
      <c r="G34" s="159" t="s">
        <v>517</v>
      </c>
      <c r="H34" s="159" t="s">
        <v>518</v>
      </c>
      <c r="I34" s="159" t="s">
        <v>519</v>
      </c>
      <c r="J34" s="159" t="s">
        <v>520</v>
      </c>
      <c r="K34" s="159" t="s">
        <v>521</v>
      </c>
      <c r="L34" s="159" t="s">
        <v>522</v>
      </c>
      <c r="M34" s="159" t="s">
        <v>354</v>
      </c>
      <c r="N34" s="159" t="s">
        <v>523</v>
      </c>
      <c r="O34" s="159"/>
      <c r="P34" s="156"/>
    </row>
    <row r="35" spans="1:16" ht="34.799999999999997" x14ac:dyDescent="0.4">
      <c r="A35" s="156"/>
      <c r="B35" s="159" t="s">
        <v>446</v>
      </c>
      <c r="C35" s="159" t="s">
        <v>524</v>
      </c>
      <c r="D35" s="159" t="s">
        <v>168</v>
      </c>
      <c r="E35" s="159" t="s">
        <v>169</v>
      </c>
      <c r="F35" s="159" t="s">
        <v>525</v>
      </c>
      <c r="G35" s="159" t="s">
        <v>526</v>
      </c>
      <c r="H35" s="159" t="s">
        <v>527</v>
      </c>
      <c r="I35" s="159" t="s">
        <v>451</v>
      </c>
      <c r="J35" s="159" t="s">
        <v>528</v>
      </c>
      <c r="K35" s="159" t="s">
        <v>529</v>
      </c>
      <c r="L35" s="159" t="s">
        <v>530</v>
      </c>
      <c r="M35" s="159" t="s">
        <v>354</v>
      </c>
      <c r="N35" s="159" t="s">
        <v>455</v>
      </c>
      <c r="O35" s="159"/>
      <c r="P35" s="156"/>
    </row>
    <row r="36" spans="1:16" ht="34.799999999999997" x14ac:dyDescent="0.4">
      <c r="A36" s="156"/>
      <c r="B36" s="159" t="s">
        <v>440</v>
      </c>
      <c r="C36" s="159" t="s">
        <v>531</v>
      </c>
      <c r="D36" s="159" t="s">
        <v>170</v>
      </c>
      <c r="E36" s="159" t="s">
        <v>171</v>
      </c>
      <c r="F36" s="159" t="s">
        <v>532</v>
      </c>
      <c r="G36" s="159" t="s">
        <v>533</v>
      </c>
      <c r="H36" s="159" t="s">
        <v>450</v>
      </c>
      <c r="I36" s="159" t="s">
        <v>451</v>
      </c>
      <c r="J36" s="159" t="s">
        <v>534</v>
      </c>
      <c r="K36" s="159" t="s">
        <v>535</v>
      </c>
      <c r="L36" s="159" t="s">
        <v>536</v>
      </c>
      <c r="M36" s="159" t="s">
        <v>354</v>
      </c>
      <c r="N36" s="159" t="s">
        <v>322</v>
      </c>
      <c r="O36" s="159"/>
      <c r="P36" s="156"/>
    </row>
    <row r="37" spans="1:16" ht="34.799999999999997" x14ac:dyDescent="0.4">
      <c r="A37" s="156"/>
      <c r="B37" s="159" t="s">
        <v>364</v>
      </c>
      <c r="C37" s="159" t="s">
        <v>365</v>
      </c>
      <c r="D37" s="159" t="s">
        <v>172</v>
      </c>
      <c r="E37" s="159" t="s">
        <v>173</v>
      </c>
      <c r="F37" s="159" t="s">
        <v>537</v>
      </c>
      <c r="G37" s="159" t="s">
        <v>538</v>
      </c>
      <c r="H37" s="159" t="s">
        <v>539</v>
      </c>
      <c r="I37" s="159" t="s">
        <v>540</v>
      </c>
      <c r="J37" s="159" t="s">
        <v>541</v>
      </c>
      <c r="K37" s="159" t="s">
        <v>542</v>
      </c>
      <c r="L37" s="159" t="s">
        <v>543</v>
      </c>
      <c r="M37" s="159" t="s">
        <v>286</v>
      </c>
      <c r="N37" s="159" t="s">
        <v>544</v>
      </c>
      <c r="O37" s="159"/>
      <c r="P37" s="156"/>
    </row>
    <row r="38" spans="1:16" ht="34.799999999999997" x14ac:dyDescent="0.4">
      <c r="A38" s="156"/>
      <c r="B38" s="159" t="s">
        <v>288</v>
      </c>
      <c r="C38" s="159" t="s">
        <v>332</v>
      </c>
      <c r="D38" s="159" t="s">
        <v>174</v>
      </c>
      <c r="E38" s="159" t="s">
        <v>175</v>
      </c>
      <c r="F38" s="159" t="s">
        <v>545</v>
      </c>
      <c r="G38" s="159" t="s">
        <v>546</v>
      </c>
      <c r="H38" s="159" t="s">
        <v>428</v>
      </c>
      <c r="I38" s="159" t="s">
        <v>377</v>
      </c>
      <c r="J38" s="159" t="s">
        <v>547</v>
      </c>
      <c r="K38" s="159" t="s">
        <v>548</v>
      </c>
      <c r="L38" s="159" t="s">
        <v>549</v>
      </c>
      <c r="M38" s="159" t="s">
        <v>346</v>
      </c>
      <c r="N38" s="159" t="s">
        <v>355</v>
      </c>
      <c r="O38" s="159"/>
      <c r="P38" s="156"/>
    </row>
    <row r="39" spans="1:16" x14ac:dyDescent="0.4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</row>
    <row r="40" spans="1:16" x14ac:dyDescent="0.4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</row>
  </sheetData>
  <autoFilter ref="B2:P38" xr:uid="{4805F04D-A28C-478F-B742-2362C2D21F4E}"/>
  <phoneticPr fontId="1" type="noConversion"/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CC3F-0CD9-4186-AB5D-6CA6739D231D}">
  <dimension ref="A1:H8"/>
  <sheetViews>
    <sheetView view="pageBreakPreview" zoomScaleNormal="85" zoomScaleSheetLayoutView="100" workbookViewId="0">
      <selection activeCell="G14" sqref="G14"/>
    </sheetView>
  </sheetViews>
  <sheetFormatPr defaultColWidth="8.59765625" defaultRowHeight="17.399999999999999" x14ac:dyDescent="0.4"/>
  <cols>
    <col min="1" max="1" width="3.09765625" style="161" customWidth="1"/>
    <col min="2" max="2" width="32.8984375" style="161" customWidth="1"/>
    <col min="3" max="3" width="34" style="161" customWidth="1"/>
    <col min="4" max="4" width="30.8984375" style="161" customWidth="1"/>
    <col min="5" max="5" width="35" style="161" customWidth="1"/>
    <col min="6" max="6" width="35.59765625" style="161" customWidth="1"/>
    <col min="7" max="7" width="35.09765625" style="161" customWidth="1"/>
    <col min="8" max="8" width="4.8984375" style="161" customWidth="1"/>
    <col min="9" max="16384" width="8.59765625" style="161"/>
  </cols>
  <sheetData>
    <row r="1" spans="1:8" x14ac:dyDescent="0.4">
      <c r="A1" s="160"/>
      <c r="B1" s="160"/>
      <c r="C1" s="160"/>
      <c r="D1" s="160"/>
      <c r="E1" s="160"/>
      <c r="F1" s="160"/>
      <c r="G1" s="160"/>
      <c r="H1" s="160"/>
    </row>
    <row r="2" spans="1:8" x14ac:dyDescent="0.4">
      <c r="A2" s="160"/>
      <c r="B2" s="162" t="s">
        <v>550</v>
      </c>
      <c r="C2" s="162" t="s">
        <v>551</v>
      </c>
      <c r="D2" s="162" t="s">
        <v>552</v>
      </c>
      <c r="E2" s="162" t="s">
        <v>553</v>
      </c>
      <c r="F2" s="162" t="s">
        <v>554</v>
      </c>
      <c r="G2" s="162" t="s">
        <v>555</v>
      </c>
      <c r="H2" s="160"/>
    </row>
    <row r="3" spans="1:8" ht="31.2" x14ac:dyDescent="0.4">
      <c r="A3" s="160"/>
      <c r="B3" s="163" t="s">
        <v>556</v>
      </c>
      <c r="C3" s="164" t="s">
        <v>557</v>
      </c>
      <c r="D3" s="164" t="s">
        <v>558</v>
      </c>
      <c r="E3" s="164" t="s">
        <v>559</v>
      </c>
      <c r="F3" s="164" t="s">
        <v>560</v>
      </c>
      <c r="G3" s="164" t="s">
        <v>561</v>
      </c>
      <c r="H3" s="160"/>
    </row>
    <row r="4" spans="1:8" ht="31.2" x14ac:dyDescent="0.4">
      <c r="A4" s="160"/>
      <c r="B4" s="163" t="s">
        <v>562</v>
      </c>
      <c r="C4" s="164" t="s">
        <v>563</v>
      </c>
      <c r="D4" s="164" t="s">
        <v>564</v>
      </c>
      <c r="E4" s="164" t="s">
        <v>565</v>
      </c>
      <c r="F4" s="164" t="s">
        <v>566</v>
      </c>
      <c r="G4" s="164" t="s">
        <v>567</v>
      </c>
      <c r="H4" s="160"/>
    </row>
    <row r="5" spans="1:8" ht="99.9" customHeight="1" x14ac:dyDescent="0.4">
      <c r="A5" s="160"/>
      <c r="B5" s="163" t="s">
        <v>568</v>
      </c>
      <c r="C5" s="164" t="s">
        <v>569</v>
      </c>
      <c r="D5" s="164" t="s">
        <v>570</v>
      </c>
      <c r="E5" s="164" t="s">
        <v>571</v>
      </c>
      <c r="F5" s="164" t="s">
        <v>572</v>
      </c>
      <c r="G5" s="164" t="s">
        <v>573</v>
      </c>
      <c r="H5" s="160"/>
    </row>
    <row r="6" spans="1:8" ht="31.2" x14ac:dyDescent="0.4">
      <c r="A6" s="160"/>
      <c r="B6" s="163" t="s">
        <v>574</v>
      </c>
      <c r="C6" s="164" t="s">
        <v>575</v>
      </c>
      <c r="D6" s="164" t="s">
        <v>576</v>
      </c>
      <c r="E6" s="164" t="s">
        <v>577</v>
      </c>
      <c r="F6" s="164" t="s">
        <v>578</v>
      </c>
      <c r="G6" s="164" t="s">
        <v>579</v>
      </c>
      <c r="H6" s="160"/>
    </row>
    <row r="7" spans="1:8" ht="31.2" x14ac:dyDescent="0.4">
      <c r="A7" s="160"/>
      <c r="B7" s="163" t="s">
        <v>580</v>
      </c>
      <c r="C7" s="164" t="s">
        <v>581</v>
      </c>
      <c r="D7" s="164" t="s">
        <v>582</v>
      </c>
      <c r="E7" s="164" t="s">
        <v>583</v>
      </c>
      <c r="F7" s="164" t="s">
        <v>584</v>
      </c>
      <c r="G7" s="164" t="s">
        <v>585</v>
      </c>
      <c r="H7" s="160"/>
    </row>
    <row r="8" spans="1:8" x14ac:dyDescent="0.4">
      <c r="A8" s="160"/>
      <c r="B8" s="160"/>
      <c r="C8" s="160"/>
      <c r="D8" s="160"/>
      <c r="E8" s="160"/>
      <c r="F8" s="160"/>
      <c r="G8" s="160"/>
      <c r="H8" s="160"/>
    </row>
  </sheetData>
  <phoneticPr fontId="1" type="noConversion"/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9B24-4773-4F86-820F-0F396B0592E7}">
  <dimension ref="A1:L15"/>
  <sheetViews>
    <sheetView view="pageBreakPreview" zoomScale="85" zoomScaleNormal="85" zoomScaleSheetLayoutView="85" workbookViewId="0">
      <pane xSplit="7" ySplit="2" topLeftCell="H3" activePane="bottomRight" state="frozen"/>
      <selection activeCell="G14" sqref="G14"/>
      <selection pane="topRight" activeCell="G14" sqref="G14"/>
      <selection pane="bottomLeft" activeCell="G14" sqref="G14"/>
      <selection pane="bottomRight" activeCell="G14" sqref="G14"/>
    </sheetView>
  </sheetViews>
  <sheetFormatPr defaultColWidth="8.59765625" defaultRowHeight="17.399999999999999" x14ac:dyDescent="0.4"/>
  <cols>
    <col min="1" max="1" width="2.19921875" style="161" customWidth="1"/>
    <col min="2" max="2" width="6.5" style="161" customWidth="1"/>
    <col min="3" max="3" width="11.59765625" style="161" bestFit="1" customWidth="1"/>
    <col min="4" max="4" width="30" style="161" customWidth="1"/>
    <col min="5" max="5" width="17.09765625" style="169" customWidth="1"/>
    <col min="6" max="6" width="9.59765625" style="169" customWidth="1"/>
    <col min="7" max="7" width="43.59765625" style="161" customWidth="1"/>
    <col min="8" max="8" width="37.8984375" style="161" customWidth="1"/>
    <col min="9" max="9" width="19.5" style="161" customWidth="1"/>
    <col min="10" max="10" width="16.5" style="161" bestFit="1" customWidth="1"/>
    <col min="11" max="11" width="23.5" style="161" bestFit="1" customWidth="1"/>
    <col min="12" max="12" width="2" style="161" customWidth="1"/>
    <col min="13" max="16384" width="8.59765625" style="161"/>
  </cols>
  <sheetData>
    <row r="1" spans="1:12" x14ac:dyDescent="0.4">
      <c r="A1" s="160"/>
      <c r="B1" s="160"/>
      <c r="C1" s="160"/>
      <c r="D1" s="160"/>
      <c r="E1" s="165"/>
      <c r="F1" s="165"/>
      <c r="G1" s="160"/>
      <c r="H1" s="160"/>
      <c r="I1" s="160"/>
      <c r="J1" s="160"/>
      <c r="K1" s="160"/>
      <c r="L1" s="160"/>
    </row>
    <row r="2" spans="1:12" ht="34.799999999999997" x14ac:dyDescent="0.4">
      <c r="A2" s="160"/>
      <c r="B2" s="166" t="s">
        <v>586</v>
      </c>
      <c r="C2" s="166" t="s">
        <v>587</v>
      </c>
      <c r="D2" s="166" t="s">
        <v>588</v>
      </c>
      <c r="E2" s="166" t="s">
        <v>589</v>
      </c>
      <c r="F2" s="166" t="s">
        <v>590</v>
      </c>
      <c r="G2" s="166" t="s">
        <v>591</v>
      </c>
      <c r="H2" s="166" t="s">
        <v>592</v>
      </c>
      <c r="I2" s="166" t="s">
        <v>593</v>
      </c>
      <c r="J2" s="166" t="s">
        <v>594</v>
      </c>
      <c r="K2" s="166" t="s">
        <v>276</v>
      </c>
      <c r="L2" s="160"/>
    </row>
    <row r="3" spans="1:12" ht="52.2" x14ac:dyDescent="0.4">
      <c r="A3" s="160"/>
      <c r="B3" s="167" t="s">
        <v>595</v>
      </c>
      <c r="C3" s="167" t="s">
        <v>596</v>
      </c>
      <c r="D3" s="167" t="s">
        <v>597</v>
      </c>
      <c r="E3" s="168" t="s">
        <v>598</v>
      </c>
      <c r="F3" s="168">
        <v>2025</v>
      </c>
      <c r="G3" s="167" t="s">
        <v>599</v>
      </c>
      <c r="H3" s="167" t="s">
        <v>600</v>
      </c>
      <c r="I3" s="167" t="s">
        <v>601</v>
      </c>
      <c r="J3" s="167" t="s">
        <v>602</v>
      </c>
      <c r="K3" s="167" t="s">
        <v>603</v>
      </c>
      <c r="L3" s="160"/>
    </row>
    <row r="4" spans="1:12" ht="34.799999999999997" x14ac:dyDescent="0.4">
      <c r="A4" s="160"/>
      <c r="B4" s="167" t="s">
        <v>604</v>
      </c>
      <c r="C4" s="167" t="s">
        <v>605</v>
      </c>
      <c r="D4" s="167" t="s">
        <v>606</v>
      </c>
      <c r="E4" s="168" t="s">
        <v>607</v>
      </c>
      <c r="F4" s="168">
        <v>2025</v>
      </c>
      <c r="G4" s="167" t="s">
        <v>608</v>
      </c>
      <c r="H4" s="167" t="s">
        <v>609</v>
      </c>
      <c r="I4" s="167" t="s">
        <v>610</v>
      </c>
      <c r="J4" s="167" t="s">
        <v>611</v>
      </c>
      <c r="K4" s="167"/>
      <c r="L4" s="160"/>
    </row>
    <row r="5" spans="1:12" x14ac:dyDescent="0.4">
      <c r="A5" s="160"/>
      <c r="B5" s="167" t="s">
        <v>612</v>
      </c>
      <c r="C5" s="167" t="s">
        <v>613</v>
      </c>
      <c r="D5" s="167" t="s">
        <v>614</v>
      </c>
      <c r="E5" s="168" t="s">
        <v>615</v>
      </c>
      <c r="F5" s="168">
        <v>2021.07</v>
      </c>
      <c r="G5" s="167" t="s">
        <v>616</v>
      </c>
      <c r="H5" s="167" t="s">
        <v>617</v>
      </c>
      <c r="I5" s="167" t="s">
        <v>602</v>
      </c>
      <c r="J5" s="167" t="s">
        <v>618</v>
      </c>
      <c r="K5" s="167"/>
      <c r="L5" s="160"/>
    </row>
    <row r="6" spans="1:12" x14ac:dyDescent="0.4">
      <c r="A6" s="160"/>
      <c r="B6" s="167" t="s">
        <v>619</v>
      </c>
      <c r="C6" s="167" t="s">
        <v>620</v>
      </c>
      <c r="D6" s="167" t="s">
        <v>621</v>
      </c>
      <c r="E6" s="168" t="s">
        <v>615</v>
      </c>
      <c r="F6" s="168" t="s">
        <v>622</v>
      </c>
      <c r="G6" s="167" t="s">
        <v>623</v>
      </c>
      <c r="H6" s="167" t="s">
        <v>624</v>
      </c>
      <c r="I6" s="167" t="s">
        <v>602</v>
      </c>
      <c r="J6" s="167" t="s">
        <v>625</v>
      </c>
      <c r="K6" s="167"/>
      <c r="L6" s="160"/>
    </row>
    <row r="7" spans="1:12" ht="34.799999999999997" x14ac:dyDescent="0.4">
      <c r="A7" s="160"/>
      <c r="B7" s="167" t="s">
        <v>626</v>
      </c>
      <c r="C7" s="167" t="s">
        <v>627</v>
      </c>
      <c r="D7" s="167" t="s">
        <v>628</v>
      </c>
      <c r="E7" s="168" t="s">
        <v>615</v>
      </c>
      <c r="F7" s="168">
        <v>2023.04</v>
      </c>
      <c r="G7" s="167" t="s">
        <v>629</v>
      </c>
      <c r="H7" s="167" t="s">
        <v>630</v>
      </c>
      <c r="I7" s="167" t="s">
        <v>631</v>
      </c>
      <c r="J7" s="167" t="s">
        <v>632</v>
      </c>
      <c r="K7" s="167"/>
      <c r="L7" s="160"/>
    </row>
    <row r="8" spans="1:12" x14ac:dyDescent="0.4">
      <c r="A8" s="160"/>
      <c r="B8" s="167" t="s">
        <v>633</v>
      </c>
      <c r="C8" s="167" t="s">
        <v>613</v>
      </c>
      <c r="D8" s="167" t="s">
        <v>634</v>
      </c>
      <c r="E8" s="168" t="s">
        <v>635</v>
      </c>
      <c r="F8" s="168">
        <v>2023.04</v>
      </c>
      <c r="G8" s="167" t="s">
        <v>636</v>
      </c>
      <c r="H8" s="167" t="s">
        <v>637</v>
      </c>
      <c r="I8" s="167" t="s">
        <v>602</v>
      </c>
      <c r="J8" s="167" t="s">
        <v>638</v>
      </c>
      <c r="K8" s="167"/>
      <c r="L8" s="160"/>
    </row>
    <row r="9" spans="1:12" x14ac:dyDescent="0.4">
      <c r="A9" s="160"/>
      <c r="B9" s="167" t="s">
        <v>639</v>
      </c>
      <c r="C9" s="167" t="s">
        <v>640</v>
      </c>
      <c r="D9" s="167" t="s">
        <v>641</v>
      </c>
      <c r="E9" s="168" t="s">
        <v>642</v>
      </c>
      <c r="F9" s="168">
        <v>2024</v>
      </c>
      <c r="G9" s="167" t="s">
        <v>643</v>
      </c>
      <c r="H9" s="167" t="s">
        <v>644</v>
      </c>
      <c r="I9" s="167" t="s">
        <v>645</v>
      </c>
      <c r="J9" s="167" t="s">
        <v>646</v>
      </c>
      <c r="K9" s="167"/>
      <c r="L9" s="160"/>
    </row>
    <row r="10" spans="1:12" ht="34.799999999999997" x14ac:dyDescent="0.4">
      <c r="A10" s="160"/>
      <c r="B10" s="167" t="s">
        <v>647</v>
      </c>
      <c r="C10" s="167" t="s">
        <v>648</v>
      </c>
      <c r="D10" s="167" t="s">
        <v>649</v>
      </c>
      <c r="E10" s="168" t="s">
        <v>650</v>
      </c>
      <c r="F10" s="168">
        <v>2024</v>
      </c>
      <c r="G10" s="167" t="s">
        <v>651</v>
      </c>
      <c r="H10" s="167" t="s">
        <v>652</v>
      </c>
      <c r="I10" s="167" t="s">
        <v>645</v>
      </c>
      <c r="J10" s="167" t="s">
        <v>653</v>
      </c>
      <c r="K10" s="167"/>
      <c r="L10" s="160"/>
    </row>
    <row r="11" spans="1:12" x14ac:dyDescent="0.4">
      <c r="A11" s="160"/>
      <c r="B11" s="167" t="s">
        <v>654</v>
      </c>
      <c r="C11" s="167" t="s">
        <v>655</v>
      </c>
      <c r="D11" s="167" t="s">
        <v>656</v>
      </c>
      <c r="E11" s="168" t="s">
        <v>657</v>
      </c>
      <c r="F11" s="168" t="s">
        <v>658</v>
      </c>
      <c r="G11" s="167" t="s">
        <v>659</v>
      </c>
      <c r="H11" s="167" t="s">
        <v>660</v>
      </c>
      <c r="I11" s="167" t="s">
        <v>602</v>
      </c>
      <c r="J11" s="167" t="s">
        <v>661</v>
      </c>
      <c r="K11" s="167"/>
      <c r="L11" s="160"/>
    </row>
    <row r="12" spans="1:12" x14ac:dyDescent="0.4">
      <c r="A12" s="160"/>
      <c r="B12" s="167" t="s">
        <v>662</v>
      </c>
      <c r="C12" s="167" t="s">
        <v>655</v>
      </c>
      <c r="D12" s="167" t="s">
        <v>663</v>
      </c>
      <c r="E12" s="168" t="s">
        <v>657</v>
      </c>
      <c r="F12" s="168" t="s">
        <v>658</v>
      </c>
      <c r="G12" s="167" t="s">
        <v>664</v>
      </c>
      <c r="H12" s="167" t="s">
        <v>665</v>
      </c>
      <c r="I12" s="167" t="s">
        <v>602</v>
      </c>
      <c r="J12" s="167" t="s">
        <v>661</v>
      </c>
      <c r="K12" s="167"/>
      <c r="L12" s="160"/>
    </row>
    <row r="13" spans="1:12" x14ac:dyDescent="0.4">
      <c r="A13" s="160"/>
      <c r="B13" s="167" t="s">
        <v>666</v>
      </c>
      <c r="C13" s="167" t="s">
        <v>667</v>
      </c>
      <c r="D13" s="167" t="s">
        <v>668</v>
      </c>
      <c r="E13" s="168" t="s">
        <v>657</v>
      </c>
      <c r="F13" s="168" t="s">
        <v>658</v>
      </c>
      <c r="G13" s="167" t="s">
        <v>669</v>
      </c>
      <c r="H13" s="167" t="s">
        <v>670</v>
      </c>
      <c r="I13" s="167" t="s">
        <v>602</v>
      </c>
      <c r="J13" s="167" t="s">
        <v>671</v>
      </c>
      <c r="K13" s="167"/>
      <c r="L13" s="160"/>
    </row>
    <row r="14" spans="1:12" x14ac:dyDescent="0.4">
      <c r="A14" s="160"/>
      <c r="B14" s="167" t="s">
        <v>672</v>
      </c>
      <c r="C14" s="167" t="s">
        <v>655</v>
      </c>
      <c r="D14" s="167" t="s">
        <v>673</v>
      </c>
      <c r="E14" s="168" t="s">
        <v>657</v>
      </c>
      <c r="F14" s="168" t="s">
        <v>658</v>
      </c>
      <c r="G14" s="167" t="s">
        <v>674</v>
      </c>
      <c r="H14" s="167" t="s">
        <v>675</v>
      </c>
      <c r="I14" s="167" t="s">
        <v>602</v>
      </c>
      <c r="J14" s="167" t="s">
        <v>676</v>
      </c>
      <c r="K14" s="167"/>
      <c r="L14" s="160"/>
    </row>
    <row r="15" spans="1:12" x14ac:dyDescent="0.4">
      <c r="A15" s="160"/>
      <c r="B15" s="160"/>
      <c r="C15" s="160"/>
      <c r="D15" s="160"/>
      <c r="E15" s="165"/>
      <c r="F15" s="165"/>
      <c r="G15" s="160"/>
      <c r="H15" s="160"/>
      <c r="I15" s="160"/>
      <c r="J15" s="160"/>
      <c r="K15" s="160"/>
      <c r="L15" s="160"/>
    </row>
  </sheetData>
  <phoneticPr fontId="1" type="noConversion"/>
  <pageMargins left="0.7" right="0.7" top="0.75" bottom="0.75" header="0.3" footer="0.3"/>
  <pageSetup paperSize="9" scale="3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C9CD-1EBA-449A-BAF9-0C500367D339}">
  <dimension ref="A1:E14"/>
  <sheetViews>
    <sheetView view="pageBreakPreview" zoomScaleNormal="85" zoomScaleSheetLayoutView="100" workbookViewId="0">
      <pane xSplit="4" ySplit="2" topLeftCell="E3" activePane="bottomRight" state="frozen"/>
      <selection activeCell="G14" sqref="G14"/>
      <selection pane="topRight" activeCell="G14" sqref="G14"/>
      <selection pane="bottomLeft" activeCell="G14" sqref="G14"/>
      <selection pane="bottomRight" activeCell="G14" sqref="G14"/>
    </sheetView>
  </sheetViews>
  <sheetFormatPr defaultColWidth="8.59765625" defaultRowHeight="17.399999999999999" x14ac:dyDescent="0.4"/>
  <cols>
    <col min="1" max="1" width="2.19921875" style="161" customWidth="1"/>
    <col min="2" max="2" width="32.69921875" style="161" customWidth="1"/>
    <col min="3" max="3" width="59.796875" style="161" customWidth="1"/>
    <col min="4" max="4" width="74.3984375" style="161" customWidth="1"/>
    <col min="5" max="5" width="2" style="161" customWidth="1"/>
    <col min="6" max="16384" width="8.59765625" style="161"/>
  </cols>
  <sheetData>
    <row r="1" spans="1:5" x14ac:dyDescent="0.4">
      <c r="A1" s="160"/>
      <c r="B1" s="160"/>
      <c r="C1" s="160"/>
      <c r="D1" s="160"/>
      <c r="E1" s="160"/>
    </row>
    <row r="2" spans="1:5" x14ac:dyDescent="0.4">
      <c r="A2" s="160"/>
      <c r="B2" s="170" t="s">
        <v>677</v>
      </c>
      <c r="C2" s="170" t="s">
        <v>678</v>
      </c>
      <c r="D2" s="170" t="s">
        <v>679</v>
      </c>
      <c r="E2" s="160"/>
    </row>
    <row r="3" spans="1:5" x14ac:dyDescent="0.4">
      <c r="A3" s="160"/>
      <c r="B3" s="167" t="s">
        <v>680</v>
      </c>
      <c r="C3" s="167" t="s">
        <v>681</v>
      </c>
      <c r="D3" s="167" t="s">
        <v>682</v>
      </c>
      <c r="E3" s="160"/>
    </row>
    <row r="4" spans="1:5" ht="34.799999999999997" x14ac:dyDescent="0.4">
      <c r="A4" s="160"/>
      <c r="B4" s="167" t="s">
        <v>683</v>
      </c>
      <c r="C4" s="167" t="s">
        <v>684</v>
      </c>
      <c r="D4" s="167" t="s">
        <v>685</v>
      </c>
      <c r="E4" s="160"/>
    </row>
    <row r="5" spans="1:5" ht="34.799999999999997" x14ac:dyDescent="0.4">
      <c r="A5" s="160"/>
      <c r="B5" s="167" t="s">
        <v>686</v>
      </c>
      <c r="C5" s="167" t="s">
        <v>687</v>
      </c>
      <c r="D5" s="167" t="s">
        <v>688</v>
      </c>
      <c r="E5" s="160"/>
    </row>
    <row r="6" spans="1:5" ht="34.799999999999997" x14ac:dyDescent="0.4">
      <c r="A6" s="160"/>
      <c r="B6" s="167" t="s">
        <v>689</v>
      </c>
      <c r="C6" s="167" t="s">
        <v>690</v>
      </c>
      <c r="D6" s="167" t="s">
        <v>691</v>
      </c>
      <c r="E6" s="160"/>
    </row>
    <row r="7" spans="1:5" x14ac:dyDescent="0.4">
      <c r="A7" s="160"/>
      <c r="B7" s="167" t="s">
        <v>692</v>
      </c>
      <c r="C7" s="167" t="s">
        <v>693</v>
      </c>
      <c r="D7" s="167" t="s">
        <v>694</v>
      </c>
      <c r="E7" s="160"/>
    </row>
    <row r="8" spans="1:5" ht="52.2" x14ac:dyDescent="0.4">
      <c r="A8" s="160"/>
      <c r="B8" s="167" t="s">
        <v>695</v>
      </c>
      <c r="C8" s="167" t="s">
        <v>696</v>
      </c>
      <c r="D8" s="167" t="s">
        <v>697</v>
      </c>
      <c r="E8" s="160"/>
    </row>
    <row r="9" spans="1:5" ht="52.2" x14ac:dyDescent="0.4">
      <c r="A9" s="160"/>
      <c r="B9" s="167" t="s">
        <v>698</v>
      </c>
      <c r="C9" s="167" t="s">
        <v>699</v>
      </c>
      <c r="D9" s="167" t="s">
        <v>700</v>
      </c>
      <c r="E9" s="160"/>
    </row>
    <row r="10" spans="1:5" ht="34.799999999999997" x14ac:dyDescent="0.4">
      <c r="A10" s="160"/>
      <c r="B10" s="167" t="s">
        <v>701</v>
      </c>
      <c r="C10" s="167" t="s">
        <v>702</v>
      </c>
      <c r="D10" s="167" t="s">
        <v>703</v>
      </c>
      <c r="E10" s="160"/>
    </row>
    <row r="11" spans="1:5" ht="34.799999999999997" x14ac:dyDescent="0.4">
      <c r="A11" s="160"/>
      <c r="B11" s="167" t="s">
        <v>704</v>
      </c>
      <c r="C11" s="167" t="s">
        <v>705</v>
      </c>
      <c r="D11" s="167" t="s">
        <v>706</v>
      </c>
      <c r="E11" s="160"/>
    </row>
    <row r="12" spans="1:5" ht="34.799999999999997" x14ac:dyDescent="0.4">
      <c r="A12" s="160"/>
      <c r="B12" s="167" t="s">
        <v>707</v>
      </c>
      <c r="C12" s="167" t="s">
        <v>708</v>
      </c>
      <c r="D12" s="167" t="s">
        <v>709</v>
      </c>
      <c r="E12" s="160"/>
    </row>
    <row r="13" spans="1:5" x14ac:dyDescent="0.4">
      <c r="A13" s="160"/>
      <c r="B13" s="171" t="s">
        <v>710</v>
      </c>
      <c r="C13" s="160"/>
      <c r="D13" s="160"/>
      <c r="E13" s="160"/>
    </row>
    <row r="14" spans="1:5" x14ac:dyDescent="0.4">
      <c r="A14" s="160"/>
      <c r="B14" s="160"/>
      <c r="C14" s="160"/>
      <c r="D14" s="160"/>
      <c r="E14" s="160"/>
    </row>
  </sheetData>
  <phoneticPr fontId="1" type="noConversion"/>
  <pageMargins left="0.7" right="0.7" top="0.75" bottom="0.75" header="0.3" footer="0.3"/>
  <pageSetup paperSize="9"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1" ma:contentTypeDescription="Create a new document." ma:contentTypeScope="" ma:versionID="ac4e8b5e424075323024da34dfed7ab7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b3acacfc7b8f27a5e50f6f243b1f7b76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013463-FD21-4835-B71B-C50BD99091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C5C27-D0E4-4B99-927A-7A1261D27F49}">
  <ds:schemaRefs>
    <ds:schemaRef ds:uri="http://purl.org/dc/elements/1.1/"/>
    <ds:schemaRef ds:uri="525df02f-3aee-47af-b2f3-c2ea8bcae9a6"/>
    <ds:schemaRef ds:uri="http://schemas.openxmlformats.org/package/2006/metadata/core-properties"/>
    <ds:schemaRef ds:uri="http://schemas.microsoft.com/office/2006/documentManagement/types"/>
    <ds:schemaRef ds:uri="5192ee0d-e524-4888-b581-1910cadcd210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5E50DA-A149-4BD0-9633-0C2685C701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2ee0d-e524-4888-b581-1910cadcd210"/>
    <ds:schemaRef ds:uri="525df02f-3aee-47af-b2f3-c2ea8bcae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표지</vt:lpstr>
      <vt:lpstr>제개정이력</vt:lpstr>
      <vt:lpstr>문서개요</vt:lpstr>
      <vt:lpstr>1. 영향 평가서</vt:lpstr>
      <vt:lpstr>2. 고영향 책무 </vt:lpstr>
      <vt:lpstr>3-1. 위험(안전성) 평가 요약</vt:lpstr>
      <vt:lpstr>3-2. AI위험(안전성) 식별 및 평가</vt:lpstr>
      <vt:lpstr>(서식예시) AI위험평가서(위험ID)</vt:lpstr>
      <vt:lpstr>Reference)</vt:lpstr>
      <vt:lpstr>(Ref.)AI안전성 위험상세</vt:lpstr>
      <vt:lpstr>(Ref.)위험수준 평가 기준</vt:lpstr>
      <vt:lpstr>(Ref.)관련 법·가이드·프레임워크(S#)</vt:lpstr>
      <vt:lpstr>(Ref.)위험관리실천방법</vt:lpstr>
      <vt:lpstr>'(Ref.)AI안전성 위험상세'!Print_Area</vt:lpstr>
      <vt:lpstr>'(Ref.)관련 법·가이드·프레임워크(S#)'!Print_Area</vt:lpstr>
      <vt:lpstr>'(Ref.)위험관리실천방법'!Print_Area</vt:lpstr>
      <vt:lpstr>'(서식예시) AI위험평가서(위험ID)'!Print_Area</vt:lpstr>
      <vt:lpstr>'1. 영향 평가서'!Print_Area</vt:lpstr>
      <vt:lpstr>'3-2. AI위험(안전성) 식별 및 평가'!Print_Area</vt:lpstr>
      <vt:lpstr>표지!Print_Area</vt:lpstr>
      <vt:lpstr>문서명</vt:lpstr>
      <vt:lpstr>프로젝트명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Keunjae Ryoo</dc:creator>
  <cp:lastModifiedBy>Jong-Min La</cp:lastModifiedBy>
  <dcterms:created xsi:type="dcterms:W3CDTF">2025-09-09T06:07:41Z</dcterms:created>
  <dcterms:modified xsi:type="dcterms:W3CDTF">2026-02-24T07:43:15Z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MediaServiceImageTags">
    <vt:lpwstr/>
  </property>
</Properties>
</file>